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"/>
    </mc:Choice>
  </mc:AlternateContent>
  <xr:revisionPtr revIDLastSave="0" documentId="13_ncr:1_{40638B49-2C81-4649-A055-2033343F217D}" xr6:coauthVersionLast="47" xr6:coauthVersionMax="47" xr10:uidLastSave="{00000000-0000-0000-0000-000000000000}"/>
  <bookViews>
    <workbookView xWindow="-120" yWindow="-120" windowWidth="20730" windowHeight="11040" tabRatio="813" activeTab="4" xr2:uid="{ED845254-A046-4DFD-95F6-102E162D1E8B}"/>
  </bookViews>
  <sheets>
    <sheet name="Orçamento" sheetId="1" r:id="rId1"/>
    <sheet name="Custo investimento Lab" sheetId="27" r:id="rId2"/>
    <sheet name="Financiamento" sheetId="3" r:id="rId3"/>
    <sheet name="Água e luz" sheetId="30" r:id="rId4"/>
    <sheet name="Cálcul. trabalhado" sheetId="11" r:id="rId5"/>
    <sheet name="Ocupação e unit economics 2.0" sheetId="31" r:id="rId6"/>
    <sheet name="Cálculo kit higiene" sheetId="22" r:id="rId7"/>
    <sheet name="Equipe" sheetId="2" r:id="rId8"/>
    <sheet name="Orçamento máquinas" sheetId="15" r:id="rId9"/>
    <sheet name="Cronog. de Ativ. " sheetId="28" r:id="rId10"/>
    <sheet name="Cálcul. para definição benefic" sheetId="17" r:id="rId11"/>
    <sheet name="Fórmulas fee para split" sheetId="29" r:id="rId12"/>
    <sheet name="Benefícios Personal" sheetId="10" r:id="rId13"/>
    <sheet name="Benefícios aluno" sheetId="20" r:id="rId14"/>
    <sheet name="Manifesto" sheetId="25" r:id="rId15"/>
    <sheet name="Concorrentes" sheetId="16" r:id="rId16"/>
    <sheet name="Local" sheetId="21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2" i="31" l="1"/>
  <c r="B96" i="31"/>
  <c r="H103" i="31" l="1"/>
  <c r="H102" i="31"/>
  <c r="H101" i="31"/>
  <c r="G101" i="31"/>
  <c r="H96" i="31"/>
  <c r="G96" i="31"/>
  <c r="H92" i="31"/>
  <c r="H91" i="31"/>
  <c r="G91" i="31"/>
  <c r="H90" i="31"/>
  <c r="G90" i="31"/>
  <c r="H73" i="31"/>
  <c r="G73" i="31"/>
  <c r="H72" i="31"/>
  <c r="G72" i="31"/>
  <c r="H71" i="31"/>
  <c r="G71" i="31"/>
  <c r="H70" i="31"/>
  <c r="H69" i="31"/>
  <c r="G69" i="31"/>
  <c r="H67" i="31"/>
  <c r="G67" i="31"/>
  <c r="H68" i="31"/>
  <c r="G68" i="31"/>
  <c r="C46" i="31"/>
  <c r="D46" i="31"/>
  <c r="B101" i="31"/>
  <c r="D5" i="1"/>
  <c r="D7" i="27"/>
  <c r="J7" i="27"/>
  <c r="J8" i="27"/>
  <c r="B86" i="31"/>
  <c r="B85" i="31"/>
  <c r="B84" i="31"/>
  <c r="B63" i="31"/>
  <c r="B29" i="31"/>
  <c r="B31" i="31" s="1"/>
  <c r="B28" i="31"/>
  <c r="B30" i="31" s="1"/>
  <c r="B32" i="31" s="1"/>
  <c r="B33" i="31" s="1"/>
  <c r="H18" i="31"/>
  <c r="G18" i="31"/>
  <c r="F18" i="31"/>
  <c r="E18" i="31"/>
  <c r="D18" i="31"/>
  <c r="C18" i="31"/>
  <c r="B18" i="31"/>
  <c r="E17" i="31"/>
  <c r="F17" i="31" s="1"/>
  <c r="G17" i="31" s="1"/>
  <c r="H17" i="31" s="1"/>
  <c r="C17" i="31"/>
  <c r="D17" i="31" s="1"/>
  <c r="C16" i="31"/>
  <c r="D16" i="31" s="1"/>
  <c r="E16" i="31" s="1"/>
  <c r="F16" i="31" s="1"/>
  <c r="G16" i="31" s="1"/>
  <c r="H16" i="31" s="1"/>
  <c r="E15" i="31"/>
  <c r="F15" i="31" s="1"/>
  <c r="G15" i="31" s="1"/>
  <c r="H15" i="31" s="1"/>
  <c r="C15" i="31"/>
  <c r="D15" i="31" s="1"/>
  <c r="C14" i="31"/>
  <c r="D14" i="31" s="1"/>
  <c r="E14" i="31" s="1"/>
  <c r="F14" i="31" s="1"/>
  <c r="G14" i="31" s="1"/>
  <c r="H14" i="31" s="1"/>
  <c r="E13" i="31"/>
  <c r="F13" i="31" s="1"/>
  <c r="G13" i="31" s="1"/>
  <c r="H13" i="31" s="1"/>
  <c r="C13" i="31"/>
  <c r="D13" i="31" s="1"/>
  <c r="C12" i="31"/>
  <c r="D12" i="31" s="1"/>
  <c r="E12" i="31" s="1"/>
  <c r="F12" i="31" s="1"/>
  <c r="G12" i="31" s="1"/>
  <c r="H12" i="31" s="1"/>
  <c r="E11" i="31"/>
  <c r="F11" i="31" s="1"/>
  <c r="G11" i="31" s="1"/>
  <c r="H11" i="31" s="1"/>
  <c r="C11" i="31"/>
  <c r="D11" i="31" s="1"/>
  <c r="C10" i="31"/>
  <c r="D10" i="31" s="1"/>
  <c r="E10" i="31" s="1"/>
  <c r="F10" i="31" s="1"/>
  <c r="G10" i="31" s="1"/>
  <c r="H10" i="31" s="1"/>
  <c r="E9" i="31"/>
  <c r="F9" i="31" s="1"/>
  <c r="G9" i="31" s="1"/>
  <c r="H9" i="31" s="1"/>
  <c r="C9" i="31"/>
  <c r="D9" i="31" s="1"/>
  <c r="C8" i="31"/>
  <c r="D8" i="31" s="1"/>
  <c r="E8" i="31" s="1"/>
  <c r="F8" i="31" s="1"/>
  <c r="G8" i="31" s="1"/>
  <c r="H8" i="31" s="1"/>
  <c r="H7" i="31"/>
  <c r="G7" i="31"/>
  <c r="F7" i="31"/>
  <c r="E7" i="31"/>
  <c r="D7" i="31"/>
  <c r="C7" i="31"/>
  <c r="B7" i="31"/>
  <c r="H6" i="31"/>
  <c r="G6" i="31"/>
  <c r="F6" i="31"/>
  <c r="E6" i="31"/>
  <c r="D6" i="31"/>
  <c r="C6" i="31"/>
  <c r="B6" i="31"/>
  <c r="L5" i="31"/>
  <c r="K5" i="31"/>
  <c r="B5" i="31"/>
  <c r="C4" i="31"/>
  <c r="D4" i="31" s="1"/>
  <c r="E4" i="31" s="1"/>
  <c r="F4" i="31" s="1"/>
  <c r="G4" i="31" s="1"/>
  <c r="H4" i="31" s="1"/>
  <c r="B4" i="31"/>
  <c r="B3" i="31"/>
  <c r="B19" i="31" s="1"/>
  <c r="J3" i="27"/>
  <c r="E96" i="31" l="1"/>
  <c r="C96" i="31"/>
  <c r="D96" i="31"/>
  <c r="C45" i="31"/>
  <c r="C43" i="31"/>
  <c r="C41" i="31"/>
  <c r="F96" i="31"/>
  <c r="C44" i="31"/>
  <c r="C42" i="31"/>
  <c r="C40" i="31"/>
  <c r="C3" i="31"/>
  <c r="J4" i="27"/>
  <c r="K29" i="11"/>
  <c r="J29" i="22"/>
  <c r="D29" i="22"/>
  <c r="W38" i="15"/>
  <c r="C19" i="31" l="1"/>
  <c r="D3" i="31"/>
  <c r="B68" i="31"/>
  <c r="B67" i="31" s="1"/>
  <c r="B69" i="31" s="1"/>
  <c r="B70" i="31" s="1"/>
  <c r="B71" i="31" s="1"/>
  <c r="B72" i="31" s="1"/>
  <c r="D40" i="31"/>
  <c r="F68" i="31"/>
  <c r="F67" i="31" s="1"/>
  <c r="F69" i="31" s="1"/>
  <c r="F70" i="31" s="1"/>
  <c r="D44" i="31"/>
  <c r="F103" i="31"/>
  <c r="F101" i="31"/>
  <c r="F102" i="31"/>
  <c r="D43" i="31"/>
  <c r="E68" i="31"/>
  <c r="E67" i="31" s="1"/>
  <c r="E69" i="31" s="1"/>
  <c r="E70" i="31" s="1"/>
  <c r="D102" i="31"/>
  <c r="D103" i="31"/>
  <c r="D101" i="31"/>
  <c r="E103" i="31"/>
  <c r="E102" i="31"/>
  <c r="E101" i="31"/>
  <c r="D68" i="31"/>
  <c r="D67" i="31" s="1"/>
  <c r="D69" i="31" s="1"/>
  <c r="D70" i="31" s="1"/>
  <c r="D42" i="31"/>
  <c r="B103" i="31"/>
  <c r="D41" i="31"/>
  <c r="C68" i="31"/>
  <c r="C67" i="31" s="1"/>
  <c r="C69" i="31" s="1"/>
  <c r="C70" i="31" s="1"/>
  <c r="D45" i="31"/>
  <c r="G70" i="31"/>
  <c r="C103" i="31"/>
  <c r="C102" i="31"/>
  <c r="C101" i="31"/>
  <c r="G103" i="31"/>
  <c r="G102" i="31"/>
  <c r="I80" i="2"/>
  <c r="I70" i="2"/>
  <c r="I60" i="2"/>
  <c r="I50" i="2"/>
  <c r="I40" i="2"/>
  <c r="I20" i="2"/>
  <c r="I30" i="2"/>
  <c r="S35" i="1"/>
  <c r="S34" i="1"/>
  <c r="R35" i="1"/>
  <c r="R34" i="1"/>
  <c r="Q35" i="1"/>
  <c r="Q34" i="1"/>
  <c r="P35" i="1"/>
  <c r="P34" i="1"/>
  <c r="O35" i="1"/>
  <c r="O34" i="1"/>
  <c r="N35" i="1"/>
  <c r="N34" i="1"/>
  <c r="M35" i="1"/>
  <c r="M34" i="1"/>
  <c r="L35" i="1"/>
  <c r="L34" i="1"/>
  <c r="K35" i="1"/>
  <c r="K34" i="1"/>
  <c r="J35" i="1"/>
  <c r="J34" i="1"/>
  <c r="I35" i="1"/>
  <c r="I34" i="1"/>
  <c r="H35" i="1"/>
  <c r="H34" i="1"/>
  <c r="G35" i="1"/>
  <c r="G34" i="1"/>
  <c r="AE32" i="1"/>
  <c r="F33" i="1"/>
  <c r="D19" i="31" l="1"/>
  <c r="D71" i="31" s="1"/>
  <c r="D72" i="31" s="1"/>
  <c r="E3" i="31"/>
  <c r="B73" i="31"/>
  <c r="B92" i="31"/>
  <c r="B90" i="31"/>
  <c r="B91" i="31"/>
  <c r="C71" i="31"/>
  <c r="C72" i="31" s="1"/>
  <c r="CV70" i="1"/>
  <c r="CW70" i="1"/>
  <c r="CX70" i="1"/>
  <c r="CY70" i="1"/>
  <c r="CZ70" i="1"/>
  <c r="DA70" i="1"/>
  <c r="DB70" i="1"/>
  <c r="DC70" i="1"/>
  <c r="DD70" i="1"/>
  <c r="DE70" i="1"/>
  <c r="DF70" i="1"/>
  <c r="CU70" i="1"/>
  <c r="CV67" i="1"/>
  <c r="CW67" i="1"/>
  <c r="CX67" i="1"/>
  <c r="CY67" i="1"/>
  <c r="CZ67" i="1"/>
  <c r="DA67" i="1"/>
  <c r="DB67" i="1"/>
  <c r="DC67" i="1"/>
  <c r="DD67" i="1"/>
  <c r="DE67" i="1"/>
  <c r="DF67" i="1"/>
  <c r="CU67" i="1"/>
  <c r="CV64" i="1"/>
  <c r="CW64" i="1"/>
  <c r="CX64" i="1"/>
  <c r="CY64" i="1"/>
  <c r="CZ64" i="1"/>
  <c r="DA64" i="1"/>
  <c r="DB64" i="1"/>
  <c r="DC64" i="1"/>
  <c r="DD64" i="1"/>
  <c r="DE64" i="1"/>
  <c r="DF64" i="1"/>
  <c r="CU64" i="1"/>
  <c r="CV63" i="1"/>
  <c r="CW63" i="1"/>
  <c r="CX63" i="1"/>
  <c r="CY63" i="1"/>
  <c r="CZ63" i="1"/>
  <c r="DA63" i="1"/>
  <c r="DB63" i="1"/>
  <c r="DC63" i="1"/>
  <c r="DD63" i="1"/>
  <c r="DE63" i="1"/>
  <c r="DF63" i="1"/>
  <c r="CU63" i="1"/>
  <c r="CV61" i="1"/>
  <c r="CW61" i="1"/>
  <c r="CX61" i="1"/>
  <c r="CY61" i="1"/>
  <c r="CZ61" i="1"/>
  <c r="DA61" i="1"/>
  <c r="DB61" i="1"/>
  <c r="DC61" i="1"/>
  <c r="DD61" i="1"/>
  <c r="DE61" i="1"/>
  <c r="DF61" i="1"/>
  <c r="CU61" i="1"/>
  <c r="CV59" i="1"/>
  <c r="CW59" i="1"/>
  <c r="CX59" i="1"/>
  <c r="CY59" i="1"/>
  <c r="CZ59" i="1"/>
  <c r="DA59" i="1"/>
  <c r="DB59" i="1"/>
  <c r="DC59" i="1"/>
  <c r="DD59" i="1"/>
  <c r="DE59" i="1"/>
  <c r="DF59" i="1"/>
  <c r="CU59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DF56" i="1"/>
  <c r="CV56" i="1"/>
  <c r="CW56" i="1"/>
  <c r="CX56" i="1"/>
  <c r="CY56" i="1"/>
  <c r="CZ56" i="1"/>
  <c r="DA56" i="1"/>
  <c r="DB56" i="1"/>
  <c r="DC56" i="1"/>
  <c r="DD56" i="1"/>
  <c r="DE56" i="1"/>
  <c r="CU56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CV47" i="1"/>
  <c r="CW47" i="1"/>
  <c r="CX47" i="1" s="1"/>
  <c r="CY47" i="1" s="1"/>
  <c r="CZ47" i="1" s="1"/>
  <c r="DA47" i="1" s="1"/>
  <c r="DB47" i="1" s="1"/>
  <c r="DC47" i="1" s="1"/>
  <c r="DD47" i="1" s="1"/>
  <c r="DE47" i="1" s="1"/>
  <c r="DF47" i="1" s="1"/>
  <c r="CU46" i="1"/>
  <c r="CV46" i="1" s="1"/>
  <c r="CW46" i="1" s="1"/>
  <c r="CX46" i="1" s="1"/>
  <c r="CY46" i="1" s="1"/>
  <c r="CZ46" i="1" s="1"/>
  <c r="DA46" i="1" s="1"/>
  <c r="DB46" i="1" s="1"/>
  <c r="DC46" i="1" s="1"/>
  <c r="DD46" i="1" s="1"/>
  <c r="DE46" i="1" s="1"/>
  <c r="DF46" i="1" s="1"/>
  <c r="CU47" i="1"/>
  <c r="CH47" i="1"/>
  <c r="CU45" i="1"/>
  <c r="CV45" i="1"/>
  <c r="CW45" i="1" s="1"/>
  <c r="CX45" i="1" s="1"/>
  <c r="CY45" i="1" s="1"/>
  <c r="CZ45" i="1" s="1"/>
  <c r="DA45" i="1" s="1"/>
  <c r="DB45" i="1" s="1"/>
  <c r="DC45" i="1" s="1"/>
  <c r="DD45" i="1" s="1"/>
  <c r="DE45" i="1" s="1"/>
  <c r="DF45" i="1" s="1"/>
  <c r="CH45" i="1"/>
  <c r="CU44" i="1"/>
  <c r="CV44" i="1"/>
  <c r="CW44" i="1" s="1"/>
  <c r="CX44" i="1" s="1"/>
  <c r="CY44" i="1" s="1"/>
  <c r="CZ44" i="1" s="1"/>
  <c r="DA44" i="1" s="1"/>
  <c r="DB44" i="1" s="1"/>
  <c r="DC44" i="1" s="1"/>
  <c r="DD44" i="1" s="1"/>
  <c r="DE44" i="1" s="1"/>
  <c r="DF44" i="1" s="1"/>
  <c r="CH44" i="1"/>
  <c r="CH43" i="1"/>
  <c r="CU43" i="1"/>
  <c r="CV43" i="1"/>
  <c r="CW43" i="1" s="1"/>
  <c r="CX43" i="1" s="1"/>
  <c r="CY43" i="1" s="1"/>
  <c r="CZ43" i="1" s="1"/>
  <c r="DA43" i="1" s="1"/>
  <c r="DB43" i="1" s="1"/>
  <c r="DC43" i="1" s="1"/>
  <c r="DD43" i="1" s="1"/>
  <c r="DE43" i="1" s="1"/>
  <c r="DF43" i="1" s="1"/>
  <c r="CU42" i="1"/>
  <c r="CV42" i="1"/>
  <c r="CW42" i="1" s="1"/>
  <c r="CX42" i="1" s="1"/>
  <c r="CY42" i="1" s="1"/>
  <c r="CZ42" i="1" s="1"/>
  <c r="DA42" i="1" s="1"/>
  <c r="DB42" i="1" s="1"/>
  <c r="DC42" i="1" s="1"/>
  <c r="DD42" i="1" s="1"/>
  <c r="DE42" i="1" s="1"/>
  <c r="DF42" i="1" s="1"/>
  <c r="CH42" i="1"/>
  <c r="CU41" i="1"/>
  <c r="CV41" i="1"/>
  <c r="CW41" i="1" s="1"/>
  <c r="CX41" i="1" s="1"/>
  <c r="CY41" i="1" s="1"/>
  <c r="CZ41" i="1" s="1"/>
  <c r="DA41" i="1" s="1"/>
  <c r="DB41" i="1" s="1"/>
  <c r="DC41" i="1" s="1"/>
  <c r="DD41" i="1" s="1"/>
  <c r="DE41" i="1" s="1"/>
  <c r="DF41" i="1" s="1"/>
  <c r="CH41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H39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H36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H32" i="1"/>
  <c r="CV30" i="1"/>
  <c r="CW30" i="1"/>
  <c r="CX30" i="1"/>
  <c r="CY30" i="1"/>
  <c r="CZ30" i="1"/>
  <c r="DA30" i="1"/>
  <c r="DB30" i="1"/>
  <c r="DC30" i="1"/>
  <c r="DD30" i="1"/>
  <c r="DE30" i="1"/>
  <c r="DF30" i="1"/>
  <c r="CU30" i="1"/>
  <c r="CV27" i="1"/>
  <c r="CW27" i="1" s="1"/>
  <c r="CX27" i="1" s="1"/>
  <c r="CU27" i="1"/>
  <c r="CX26" i="1"/>
  <c r="CY26" i="1" s="1"/>
  <c r="CV26" i="1"/>
  <c r="CW26" i="1" s="1"/>
  <c r="CU26" i="1"/>
  <c r="I9" i="30"/>
  <c r="J9" i="30" s="1"/>
  <c r="D25" i="30"/>
  <c r="D23" i="30"/>
  <c r="D24" i="30"/>
  <c r="C25" i="30"/>
  <c r="C24" i="30"/>
  <c r="B25" i="30"/>
  <c r="I8" i="30"/>
  <c r="H9" i="30"/>
  <c r="H8" i="30"/>
  <c r="D13" i="30"/>
  <c r="D12" i="30"/>
  <c r="C13" i="30"/>
  <c r="B13" i="30"/>
  <c r="CV20" i="1"/>
  <c r="CW20" i="1" s="1"/>
  <c r="CX20" i="1" s="1"/>
  <c r="CU22" i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CU21" i="1"/>
  <c r="CV21" i="1" s="1"/>
  <c r="CW21" i="1" s="1"/>
  <c r="CX21" i="1" s="1"/>
  <c r="CY21" i="1" s="1"/>
  <c r="CZ21" i="1" s="1"/>
  <c r="DA21" i="1" s="1"/>
  <c r="DB21" i="1" s="1"/>
  <c r="DC21" i="1" s="1"/>
  <c r="DD21" i="1" s="1"/>
  <c r="DE21" i="1" s="1"/>
  <c r="DF21" i="1" s="1"/>
  <c r="CU20" i="1"/>
  <c r="CU19" i="1"/>
  <c r="CV19" i="1" s="1"/>
  <c r="CW19" i="1" s="1"/>
  <c r="CX19" i="1" s="1"/>
  <c r="CY19" i="1" s="1"/>
  <c r="CZ19" i="1" s="1"/>
  <c r="DA19" i="1" s="1"/>
  <c r="DB19" i="1" s="1"/>
  <c r="DC19" i="1" s="1"/>
  <c r="DD19" i="1" s="1"/>
  <c r="DE19" i="1" s="1"/>
  <c r="DF19" i="1" s="1"/>
  <c r="CU18" i="1"/>
  <c r="CU17" i="1"/>
  <c r="CV17" i="1" s="1"/>
  <c r="CU16" i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J35" i="22"/>
  <c r="K35" i="22"/>
  <c r="J34" i="22"/>
  <c r="I35" i="22"/>
  <c r="I34" i="22"/>
  <c r="H35" i="22"/>
  <c r="H34" i="22"/>
  <c r="G35" i="22"/>
  <c r="G34" i="22"/>
  <c r="F35" i="22"/>
  <c r="F34" i="22"/>
  <c r="E35" i="22"/>
  <c r="D35" i="22"/>
  <c r="D76" i="2"/>
  <c r="J80" i="2"/>
  <c r="J78" i="2"/>
  <c r="D78" i="2"/>
  <c r="H77" i="2"/>
  <c r="D77" i="2"/>
  <c r="J77" i="2" s="1"/>
  <c r="H76" i="2"/>
  <c r="I76" i="2"/>
  <c r="J76" i="2" s="1"/>
  <c r="F75" i="2"/>
  <c r="H75" i="2" s="1"/>
  <c r="J75" i="2" s="1"/>
  <c r="H74" i="2"/>
  <c r="D74" i="2"/>
  <c r="J74" i="2" s="1"/>
  <c r="H73" i="2"/>
  <c r="D73" i="2"/>
  <c r="I73" i="2" s="1"/>
  <c r="J22" i="1"/>
  <c r="K22" i="1" s="1"/>
  <c r="L22" i="1" s="1"/>
  <c r="M22" i="1" s="1"/>
  <c r="F22" i="1"/>
  <c r="G22" i="1" s="1"/>
  <c r="H22" i="1" s="1"/>
  <c r="I22" i="1" s="1"/>
  <c r="CH82" i="1"/>
  <c r="CH80" i="1"/>
  <c r="CI70" i="1"/>
  <c r="CJ70" i="1"/>
  <c r="CK70" i="1"/>
  <c r="CL70" i="1"/>
  <c r="CM70" i="1"/>
  <c r="CN70" i="1"/>
  <c r="CO70" i="1"/>
  <c r="CP70" i="1"/>
  <c r="CQ70" i="1"/>
  <c r="CR70" i="1"/>
  <c r="CS70" i="1"/>
  <c r="CH70" i="1"/>
  <c r="CI67" i="1"/>
  <c r="CJ67" i="1"/>
  <c r="CK67" i="1"/>
  <c r="CL67" i="1"/>
  <c r="CM67" i="1"/>
  <c r="CN67" i="1"/>
  <c r="CO67" i="1"/>
  <c r="CP67" i="1"/>
  <c r="CQ67" i="1"/>
  <c r="CR67" i="1"/>
  <c r="CS67" i="1"/>
  <c r="CH67" i="1"/>
  <c r="CI64" i="1"/>
  <c r="CJ64" i="1"/>
  <c r="CK64" i="1"/>
  <c r="CL64" i="1"/>
  <c r="CM64" i="1"/>
  <c r="CN64" i="1"/>
  <c r="CO64" i="1"/>
  <c r="CP64" i="1"/>
  <c r="CQ64" i="1"/>
  <c r="CR64" i="1"/>
  <c r="CS64" i="1"/>
  <c r="CH64" i="1"/>
  <c r="CI63" i="1"/>
  <c r="CJ63" i="1"/>
  <c r="CK63" i="1"/>
  <c r="CL63" i="1"/>
  <c r="CM63" i="1"/>
  <c r="CN63" i="1"/>
  <c r="CO63" i="1"/>
  <c r="CP63" i="1"/>
  <c r="CQ63" i="1"/>
  <c r="CR63" i="1"/>
  <c r="CS63" i="1"/>
  <c r="CH63" i="1"/>
  <c r="CI61" i="1"/>
  <c r="CJ61" i="1"/>
  <c r="CK61" i="1"/>
  <c r="CL61" i="1"/>
  <c r="CM61" i="1"/>
  <c r="CN61" i="1"/>
  <c r="CO61" i="1"/>
  <c r="CP61" i="1"/>
  <c r="CQ61" i="1"/>
  <c r="CR61" i="1"/>
  <c r="CS61" i="1"/>
  <c r="CH61" i="1"/>
  <c r="CI59" i="1"/>
  <c r="CJ59" i="1"/>
  <c r="CK59" i="1"/>
  <c r="CL59" i="1"/>
  <c r="CM59" i="1"/>
  <c r="CN59" i="1"/>
  <c r="CO59" i="1"/>
  <c r="CP59" i="1"/>
  <c r="CQ59" i="1"/>
  <c r="CR59" i="1"/>
  <c r="CS59" i="1"/>
  <c r="CH59" i="1"/>
  <c r="CI54" i="1"/>
  <c r="CJ54" i="1"/>
  <c r="CK54" i="1"/>
  <c r="CL54" i="1"/>
  <c r="CM54" i="1"/>
  <c r="CN54" i="1"/>
  <c r="CO54" i="1"/>
  <c r="CP54" i="1"/>
  <c r="CQ54" i="1"/>
  <c r="CR54" i="1"/>
  <c r="CS54" i="1"/>
  <c r="CH54" i="1"/>
  <c r="CI24" i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I23" i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I19" i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K17" i="1"/>
  <c r="CL17" i="1" s="1"/>
  <c r="CM17" i="1" s="1"/>
  <c r="CN17" i="1" s="1"/>
  <c r="CO17" i="1" s="1"/>
  <c r="CP17" i="1" s="1"/>
  <c r="CQ17" i="1" s="1"/>
  <c r="CR17" i="1" s="1"/>
  <c r="CS17" i="1" s="1"/>
  <c r="CI17" i="1"/>
  <c r="CJ17" i="1" s="1"/>
  <c r="CH22" i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H21" i="1"/>
  <c r="CI21" i="1" s="1"/>
  <c r="CJ21" i="1" s="1"/>
  <c r="CH19" i="1"/>
  <c r="CH18" i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H17" i="1"/>
  <c r="CI16" i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H16" i="1"/>
  <c r="D66" i="2"/>
  <c r="J70" i="2"/>
  <c r="J68" i="2"/>
  <c r="D68" i="2"/>
  <c r="H67" i="2"/>
  <c r="D67" i="2"/>
  <c r="I67" i="2" s="1"/>
  <c r="J67" i="2" s="1"/>
  <c r="H66" i="2"/>
  <c r="I66" i="2"/>
  <c r="J66" i="2" s="1"/>
  <c r="F65" i="2"/>
  <c r="H65" i="2" s="1"/>
  <c r="I65" i="2" s="1"/>
  <c r="J65" i="2" s="1"/>
  <c r="CH20" i="1" s="1"/>
  <c r="CI20" i="1" s="1"/>
  <c r="CJ20" i="1" s="1"/>
  <c r="CK20" i="1" s="1"/>
  <c r="H64" i="2"/>
  <c r="D64" i="2"/>
  <c r="I64" i="2" s="1"/>
  <c r="J64" i="2" s="1"/>
  <c r="H63" i="2"/>
  <c r="D63" i="2"/>
  <c r="I63" i="2" s="1"/>
  <c r="D56" i="2"/>
  <c r="E19" i="31" l="1"/>
  <c r="E71" i="31" s="1"/>
  <c r="E72" i="31" s="1"/>
  <c r="F3" i="31"/>
  <c r="C92" i="31"/>
  <c r="C91" i="31"/>
  <c r="C90" i="31"/>
  <c r="C73" i="31"/>
  <c r="D73" i="31"/>
  <c r="D91" i="31"/>
  <c r="D92" i="31"/>
  <c r="D90" i="31"/>
  <c r="CW17" i="1"/>
  <c r="CX17" i="1" s="1"/>
  <c r="CY17" i="1" s="1"/>
  <c r="CZ17" i="1" s="1"/>
  <c r="DA17" i="1" s="1"/>
  <c r="DB17" i="1" s="1"/>
  <c r="DC17" i="1" s="1"/>
  <c r="DD17" i="1" s="1"/>
  <c r="DE17" i="1" s="1"/>
  <c r="DF17" i="1" s="1"/>
  <c r="CY27" i="1"/>
  <c r="CZ27" i="1" s="1"/>
  <c r="DA27" i="1" s="1"/>
  <c r="DB27" i="1" s="1"/>
  <c r="DC27" i="1" s="1"/>
  <c r="DD27" i="1" s="1"/>
  <c r="DE27" i="1" s="1"/>
  <c r="DF27" i="1" s="1"/>
  <c r="CZ26" i="1"/>
  <c r="CU15" i="1"/>
  <c r="CV18" i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CY20" i="1"/>
  <c r="CX15" i="1"/>
  <c r="CW15" i="1"/>
  <c r="I79" i="2"/>
  <c r="J73" i="2"/>
  <c r="J79" i="2" s="1"/>
  <c r="CI15" i="1"/>
  <c r="CH15" i="1"/>
  <c r="CK21" i="1"/>
  <c r="CL21" i="1" s="1"/>
  <c r="CM21" i="1" s="1"/>
  <c r="CN21" i="1" s="1"/>
  <c r="CO21" i="1" s="1"/>
  <c r="CP21" i="1" s="1"/>
  <c r="CQ21" i="1" s="1"/>
  <c r="CR21" i="1" s="1"/>
  <c r="CS21" i="1" s="1"/>
  <c r="CJ15" i="1"/>
  <c r="CK15" i="1"/>
  <c r="CL20" i="1"/>
  <c r="I69" i="2"/>
  <c r="J63" i="2"/>
  <c r="J69" i="2" s="1"/>
  <c r="F19" i="31" l="1"/>
  <c r="F71" i="31" s="1"/>
  <c r="F72" i="31" s="1"/>
  <c r="G3" i="31"/>
  <c r="E92" i="31"/>
  <c r="E91" i="31"/>
  <c r="E90" i="31"/>
  <c r="E73" i="31"/>
  <c r="DA26" i="1"/>
  <c r="CV15" i="1"/>
  <c r="CZ20" i="1"/>
  <c r="CY15" i="1"/>
  <c r="CM20" i="1"/>
  <c r="CL15" i="1"/>
  <c r="G19" i="31" l="1"/>
  <c r="H3" i="31"/>
  <c r="H19" i="31" s="1"/>
  <c r="F73" i="31"/>
  <c r="F92" i="31"/>
  <c r="F90" i="31"/>
  <c r="F91" i="31"/>
  <c r="DB26" i="1"/>
  <c r="DA20" i="1"/>
  <c r="CZ15" i="1"/>
  <c r="CM15" i="1"/>
  <c r="CN20" i="1"/>
  <c r="G92" i="31" l="1"/>
  <c r="DC26" i="1"/>
  <c r="DB20" i="1"/>
  <c r="DA15" i="1"/>
  <c r="CO20" i="1"/>
  <c r="CN15" i="1"/>
  <c r="DD26" i="1" l="1"/>
  <c r="DC20" i="1"/>
  <c r="DB15" i="1"/>
  <c r="CO15" i="1"/>
  <c r="CP20" i="1"/>
  <c r="DE26" i="1" l="1"/>
  <c r="DD20" i="1"/>
  <c r="DC15" i="1"/>
  <c r="CQ20" i="1"/>
  <c r="CP15" i="1"/>
  <c r="DF26" i="1" l="1"/>
  <c r="DE20" i="1"/>
  <c r="DD15" i="1"/>
  <c r="CQ15" i="1"/>
  <c r="CR20" i="1"/>
  <c r="DF20" i="1" l="1"/>
  <c r="DF15" i="1" s="1"/>
  <c r="DE15" i="1"/>
  <c r="CS20" i="1"/>
  <c r="CS15" i="1" s="1"/>
  <c r="CR15" i="1"/>
  <c r="J16" i="2" l="1"/>
  <c r="H30" i="3" l="1"/>
  <c r="H29" i="3"/>
  <c r="H24" i="3"/>
  <c r="F24" i="3"/>
  <c r="G24" i="3"/>
  <c r="C23" i="30" l="1"/>
  <c r="I7" i="30" s="1"/>
  <c r="BH27" i="1" s="1"/>
  <c r="BI27" i="1" s="1"/>
  <c r="BJ27" i="1" s="1"/>
  <c r="B24" i="30"/>
  <c r="B23" i="30"/>
  <c r="B22" i="30"/>
  <c r="B21" i="30"/>
  <c r="B20" i="30"/>
  <c r="B19" i="30"/>
  <c r="A24" i="30"/>
  <c r="A23" i="30"/>
  <c r="A22" i="30"/>
  <c r="C22" i="30" s="1"/>
  <c r="D22" i="30" s="1"/>
  <c r="I6" i="30" s="1"/>
  <c r="AU27" i="1" s="1"/>
  <c r="A21" i="30"/>
  <c r="C21" i="30" s="1"/>
  <c r="D21" i="30" s="1"/>
  <c r="I5" i="30" s="1"/>
  <c r="AH27" i="1" s="1"/>
  <c r="A20" i="30"/>
  <c r="C20" i="30" s="1"/>
  <c r="D20" i="30" s="1"/>
  <c r="I4" i="30" s="1"/>
  <c r="U27" i="1" s="1"/>
  <c r="A19" i="30"/>
  <c r="C19" i="30" s="1"/>
  <c r="D19" i="30" s="1"/>
  <c r="I3" i="30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C11" i="30"/>
  <c r="D11" i="30" s="1"/>
  <c r="H7" i="30" s="1"/>
  <c r="B12" i="30"/>
  <c r="B11" i="30"/>
  <c r="B10" i="30"/>
  <c r="B9" i="30"/>
  <c r="B8" i="30"/>
  <c r="B7" i="30"/>
  <c r="A12" i="30"/>
  <c r="C12" i="30" s="1"/>
  <c r="A11" i="30"/>
  <c r="A10" i="30"/>
  <c r="C10" i="30" s="1"/>
  <c r="D10" i="30" s="1"/>
  <c r="H6" i="30" s="1"/>
  <c r="A9" i="30"/>
  <c r="C9" i="30" s="1"/>
  <c r="D9" i="30" s="1"/>
  <c r="H5" i="30" s="1"/>
  <c r="A8" i="30"/>
  <c r="C8" i="30" s="1"/>
  <c r="D8" i="30" s="1"/>
  <c r="H4" i="30" s="1"/>
  <c r="A7" i="30"/>
  <c r="C7" i="30" s="1"/>
  <c r="D7" i="30" s="1"/>
  <c r="H3" i="30" s="1"/>
  <c r="C7" i="29"/>
  <c r="C3" i="29"/>
  <c r="E63" i="28"/>
  <c r="E58" i="28"/>
  <c r="D58" i="28"/>
  <c r="E51" i="28"/>
  <c r="D51" i="28"/>
  <c r="B52" i="28" s="1"/>
  <c r="D50" i="28"/>
  <c r="C50" i="28"/>
  <c r="B50" i="28"/>
  <c r="E45" i="28"/>
  <c r="D45" i="28"/>
  <c r="B46" i="28" s="1"/>
  <c r="B44" i="28"/>
  <c r="E44" i="28" s="1"/>
  <c r="C39" i="28"/>
  <c r="B36" i="28"/>
  <c r="D36" i="28" s="1"/>
  <c r="D30" i="28" s="1"/>
  <c r="D35" i="28"/>
  <c r="D31" i="28"/>
  <c r="B32" i="28" s="1"/>
  <c r="D32" i="28" s="1"/>
  <c r="B33" i="28" s="1"/>
  <c r="D33" i="28" s="1"/>
  <c r="B34" i="28" s="1"/>
  <c r="D34" i="28" s="1"/>
  <c r="B30" i="28"/>
  <c r="D22" i="28"/>
  <c r="B22" i="28"/>
  <c r="D27" i="28" s="1"/>
  <c r="E19" i="28"/>
  <c r="D19" i="28"/>
  <c r="B40" i="28" s="1"/>
  <c r="D14" i="28"/>
  <c r="C14" i="28"/>
  <c r="E4" i="28"/>
  <c r="D4" i="28"/>
  <c r="B5" i="28" s="1"/>
  <c r="E3" i="28"/>
  <c r="D3" i="28"/>
  <c r="AU26" i="1" l="1"/>
  <c r="J6" i="30"/>
  <c r="CH27" i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BU27" i="1"/>
  <c r="U26" i="1"/>
  <c r="J4" i="30"/>
  <c r="BU26" i="1"/>
  <c r="CH26" i="1"/>
  <c r="J8" i="30"/>
  <c r="BH26" i="1"/>
  <c r="J7" i="30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J3" i="30"/>
  <c r="J5" i="30"/>
  <c r="AH26" i="1"/>
  <c r="C5" i="29"/>
  <c r="C8" i="29" s="1"/>
  <c r="E5" i="28"/>
  <c r="D5" i="28"/>
  <c r="B6" i="28" s="1"/>
  <c r="E40" i="28"/>
  <c r="D40" i="28"/>
  <c r="D39" i="28" s="1"/>
  <c r="B39" i="28"/>
  <c r="E46" i="28"/>
  <c r="D46" i="28"/>
  <c r="D44" i="28" s="1"/>
  <c r="E52" i="28"/>
  <c r="B55" i="28"/>
  <c r="D52" i="28"/>
  <c r="B53" i="28" s="1"/>
  <c r="CI26" i="1" l="1"/>
  <c r="D53" i="28"/>
  <c r="B54" i="28" s="1"/>
  <c r="E53" i="28"/>
  <c r="D6" i="28"/>
  <c r="B7" i="28" s="1"/>
  <c r="E6" i="28"/>
  <c r="D55" i="28"/>
  <c r="B56" i="28" s="1"/>
  <c r="E55" i="28"/>
  <c r="CJ26" i="1" l="1"/>
  <c r="E56" i="28"/>
  <c r="D56" i="28"/>
  <c r="B57" i="28" s="1"/>
  <c r="E7" i="28"/>
  <c r="D7" i="28"/>
  <c r="B8" i="28" s="1"/>
  <c r="E54" i="28"/>
  <c r="D54" i="28"/>
  <c r="CK26" i="1" l="1"/>
  <c r="D8" i="28"/>
  <c r="E8" i="28"/>
  <c r="D57" i="28"/>
  <c r="B59" i="28" s="1"/>
  <c r="E57" i="28"/>
  <c r="CL26" i="1" l="1"/>
  <c r="E59" i="28"/>
  <c r="D59" i="28"/>
  <c r="B60" i="28" s="1"/>
  <c r="B15" i="28"/>
  <c r="B9" i="28"/>
  <c r="CM26" i="1" l="1"/>
  <c r="E9" i="28"/>
  <c r="D9" i="28"/>
  <c r="B10" i="28" s="1"/>
  <c r="D60" i="28"/>
  <c r="B61" i="28" s="1"/>
  <c r="E61" i="28" s="1"/>
  <c r="E60" i="28"/>
  <c r="E15" i="28"/>
  <c r="B14" i="28"/>
  <c r="E14" i="28" s="1"/>
  <c r="B16" i="28"/>
  <c r="D15" i="28"/>
  <c r="CN26" i="1" l="1"/>
  <c r="D10" i="28"/>
  <c r="D2" i="28" s="1"/>
  <c r="E10" i="28"/>
  <c r="D16" i="28"/>
  <c r="B17" i="28" s="1"/>
  <c r="E16" i="28"/>
  <c r="CO26" i="1" l="1"/>
  <c r="E17" i="28"/>
  <c r="D17" i="28"/>
  <c r="B18" i="28" s="1"/>
  <c r="CP26" i="1" l="1"/>
  <c r="D18" i="28"/>
  <c r="E18" i="28"/>
  <c r="CQ26" i="1" l="1"/>
  <c r="J29" i="11"/>
  <c r="J30" i="11"/>
  <c r="J31" i="11"/>
  <c r="J32" i="11"/>
  <c r="CR26" i="1" l="1"/>
  <c r="D43" i="1"/>
  <c r="F21" i="1"/>
  <c r="G21" i="1"/>
  <c r="H21" i="1"/>
  <c r="I21" i="1"/>
  <c r="F17" i="1"/>
  <c r="G17" i="1"/>
  <c r="H17" i="1"/>
  <c r="I17" i="1"/>
  <c r="E34" i="22"/>
  <c r="D34" i="22"/>
  <c r="B33" i="22"/>
  <c r="D33" i="22" s="1"/>
  <c r="E33" i="22" s="1"/>
  <c r="B32" i="22"/>
  <c r="D32" i="22" s="1"/>
  <c r="B31" i="22"/>
  <c r="B30" i="22"/>
  <c r="B29" i="22"/>
  <c r="D3" i="27"/>
  <c r="C12" i="1"/>
  <c r="C11" i="1" s="1"/>
  <c r="D12" i="1"/>
  <c r="E12" i="1"/>
  <c r="C82" i="1"/>
  <c r="C80" i="1"/>
  <c r="C79" i="1"/>
  <c r="C77" i="1" s="1"/>
  <c r="C53" i="1" s="1"/>
  <c r="C50" i="1"/>
  <c r="C46" i="1"/>
  <c r="C38" i="1"/>
  <c r="C33" i="1"/>
  <c r="C30" i="1"/>
  <c r="C25" i="1"/>
  <c r="C19" i="1"/>
  <c r="C18" i="1"/>
  <c r="C15" i="1" s="1"/>
  <c r="D18" i="1"/>
  <c r="F12" i="1"/>
  <c r="G12" i="1"/>
  <c r="D35" i="11"/>
  <c r="B35" i="11"/>
  <c r="B34" i="11"/>
  <c r="D34" i="11"/>
  <c r="AA17" i="11"/>
  <c r="AB17" i="11"/>
  <c r="X18" i="11"/>
  <c r="X19" i="11"/>
  <c r="X20" i="11"/>
  <c r="X21" i="11"/>
  <c r="X17" i="11"/>
  <c r="B21" i="11"/>
  <c r="B20" i="11"/>
  <c r="D8" i="11"/>
  <c r="D7" i="11"/>
  <c r="B8" i="11"/>
  <c r="B7" i="11"/>
  <c r="U9" i="11"/>
  <c r="D20" i="11"/>
  <c r="D21" i="11" s="1"/>
  <c r="O19" i="11"/>
  <c r="B1" i="11"/>
  <c r="CH58" i="1" l="1"/>
  <c r="BU58" i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K34" i="22"/>
  <c r="H33" i="22"/>
  <c r="I33" i="22" s="1"/>
  <c r="G33" i="22"/>
  <c r="F33" i="22"/>
  <c r="J33" i="22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CS26" i="1"/>
  <c r="C10" i="1"/>
  <c r="C8" i="1" s="1"/>
  <c r="C5" i="1" s="1"/>
  <c r="CI58" i="1" l="1"/>
  <c r="CH56" i="1"/>
  <c r="E2" i="3"/>
  <c r="E3" i="3"/>
  <c r="C10" i="22"/>
  <c r="C9" i="22"/>
  <c r="C8" i="22"/>
  <c r="C7" i="22"/>
  <c r="C6" i="22"/>
  <c r="C5" i="22"/>
  <c r="C11" i="22"/>
  <c r="B28" i="22"/>
  <c r="D28" i="22" s="1"/>
  <c r="E28" i="22" s="1"/>
  <c r="CI56" i="1" l="1"/>
  <c r="CJ58" i="1"/>
  <c r="G28" i="22"/>
  <c r="F28" i="22"/>
  <c r="D36" i="11"/>
  <c r="D37" i="11" s="1"/>
  <c r="D39" i="11" s="1"/>
  <c r="D40" i="11" s="1"/>
  <c r="B36" i="11"/>
  <c r="B37" i="11" s="1"/>
  <c r="B39" i="11" s="1"/>
  <c r="B40" i="11" s="1"/>
  <c r="D22" i="11"/>
  <c r="D23" i="11" s="1"/>
  <c r="D25" i="11" s="1"/>
  <c r="D26" i="11" s="1"/>
  <c r="B22" i="11"/>
  <c r="B9" i="11"/>
  <c r="B10" i="11" s="1"/>
  <c r="D9" i="11"/>
  <c r="D10" i="11" s="1"/>
  <c r="D12" i="11" s="1"/>
  <c r="D13" i="11" s="1"/>
  <c r="I10" i="11" l="1"/>
  <c r="I9" i="11"/>
  <c r="I18" i="11" s="1"/>
  <c r="CK58" i="1"/>
  <c r="CJ56" i="1"/>
  <c r="B12" i="11"/>
  <c r="B13" i="11" s="1"/>
  <c r="I3" i="11" s="1"/>
  <c r="B23" i="11"/>
  <c r="B25" i="11" s="1"/>
  <c r="B26" i="11" s="1"/>
  <c r="I5" i="11"/>
  <c r="U2" i="1" s="1"/>
  <c r="V2" i="1" s="1"/>
  <c r="I8" i="11"/>
  <c r="I6" i="1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I7" i="1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J33" i="1"/>
  <c r="I4" i="11" l="1"/>
  <c r="I13" i="1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I19" i="11"/>
  <c r="CU51" i="1" s="1"/>
  <c r="CV51" i="1" s="1"/>
  <c r="CW51" i="1" s="1"/>
  <c r="CX51" i="1" s="1"/>
  <c r="CY51" i="1" s="1"/>
  <c r="CZ51" i="1" s="1"/>
  <c r="DA51" i="1" s="1"/>
  <c r="DB51" i="1" s="1"/>
  <c r="DC51" i="1" s="1"/>
  <c r="DD51" i="1" s="1"/>
  <c r="DE51" i="1" s="1"/>
  <c r="DF51" i="1" s="1"/>
  <c r="CU2" i="1"/>
  <c r="CK56" i="1"/>
  <c r="CL58" i="1"/>
  <c r="W2" i="1"/>
  <c r="V79" i="1"/>
  <c r="V77" i="1" s="1"/>
  <c r="BH2" i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I17" i="1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U2" i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F79" i="1" s="1"/>
  <c r="CH2" i="1"/>
  <c r="F2" i="1"/>
  <c r="G2" i="1" s="1"/>
  <c r="G79" i="1" s="1"/>
  <c r="I12" i="11"/>
  <c r="I2" i="11"/>
  <c r="R16" i="15"/>
  <c r="H2" i="1" l="1"/>
  <c r="I2" i="1" s="1"/>
  <c r="F51" i="1"/>
  <c r="G51" i="1" s="1"/>
  <c r="CV2" i="1"/>
  <c r="CU79" i="1"/>
  <c r="CU77" i="1" s="1"/>
  <c r="CU53" i="1" s="1"/>
  <c r="J2" i="1"/>
  <c r="K2" i="1" s="1"/>
  <c r="L2" i="1" s="1"/>
  <c r="M2" i="1" s="1"/>
  <c r="N2" i="1" s="1"/>
  <c r="O2" i="1" s="1"/>
  <c r="P2" i="1" s="1"/>
  <c r="Q2" i="1" s="1"/>
  <c r="R2" i="1" s="1"/>
  <c r="S2" i="1" s="1"/>
  <c r="I79" i="1"/>
  <c r="CM58" i="1"/>
  <c r="CL56" i="1"/>
  <c r="CH51" i="1"/>
  <c r="BU51" i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CI2" i="1"/>
  <c r="CH79" i="1"/>
  <c r="X2" i="1"/>
  <c r="Y2" i="1" s="1"/>
  <c r="Z2" i="1" s="1"/>
  <c r="AA2" i="1" s="1"/>
  <c r="AB2" i="1" s="1"/>
  <c r="AC2" i="1" s="1"/>
  <c r="AD2" i="1" s="1"/>
  <c r="AE2" i="1" s="1"/>
  <c r="AF2" i="1" s="1"/>
  <c r="G16" i="15"/>
  <c r="P16" i="15"/>
  <c r="O26" i="15"/>
  <c r="H8" i="22"/>
  <c r="C2" i="22" s="1"/>
  <c r="E8" i="22"/>
  <c r="C25" i="22"/>
  <c r="C24" i="22"/>
  <c r="D16" i="15"/>
  <c r="D10" i="3"/>
  <c r="J26" i="15"/>
  <c r="M16" i="15"/>
  <c r="M26" i="15"/>
  <c r="G46" i="15"/>
  <c r="K8" i="10"/>
  <c r="M8" i="10" s="1"/>
  <c r="O8" i="10" s="1"/>
  <c r="Q8" i="10" s="1"/>
  <c r="K7" i="10"/>
  <c r="M7" i="10" s="1"/>
  <c r="O7" i="10" s="1"/>
  <c r="Q7" i="10" s="1"/>
  <c r="K6" i="10"/>
  <c r="M6" i="10" s="1"/>
  <c r="O6" i="10" s="1"/>
  <c r="Q6" i="10" s="1"/>
  <c r="K5" i="10"/>
  <c r="M5" i="10" s="1"/>
  <c r="O5" i="10" s="1"/>
  <c r="Q5" i="10" s="1"/>
  <c r="H32" i="11"/>
  <c r="H31" i="11"/>
  <c r="H30" i="11"/>
  <c r="H29" i="11"/>
  <c r="N5" i="16"/>
  <c r="N6" i="16"/>
  <c r="N4" i="16"/>
  <c r="J5" i="16"/>
  <c r="J6" i="16"/>
  <c r="J4" i="16"/>
  <c r="M5" i="16"/>
  <c r="M6" i="16"/>
  <c r="M4" i="16"/>
  <c r="F5" i="16"/>
  <c r="F6" i="16"/>
  <c r="F4" i="16"/>
  <c r="D46" i="15"/>
  <c r="W40" i="15" s="1"/>
  <c r="C7" i="3" s="1"/>
  <c r="G26" i="15"/>
  <c r="D26" i="15"/>
  <c r="J16" i="15"/>
  <c r="W36" i="15" s="1"/>
  <c r="J8" i="2"/>
  <c r="T2" i="1" l="1"/>
  <c r="CH77" i="1"/>
  <c r="CH53" i="1" s="1"/>
  <c r="CV79" i="1"/>
  <c r="CV77" i="1" s="1"/>
  <c r="CV53" i="1" s="1"/>
  <c r="CW2" i="1"/>
  <c r="CM56" i="1"/>
  <c r="CN58" i="1"/>
  <c r="CI79" i="1"/>
  <c r="CI77" i="1" s="1"/>
  <c r="CI53" i="1" s="1"/>
  <c r="CJ2" i="1"/>
  <c r="CI51" i="1"/>
  <c r="F10" i="3"/>
  <c r="G10" i="3" s="1"/>
  <c r="G29" i="3" s="1"/>
  <c r="J82" i="1"/>
  <c r="K82" i="1"/>
  <c r="L82" i="1"/>
  <c r="M82" i="1"/>
  <c r="N82" i="1"/>
  <c r="O82" i="1"/>
  <c r="P82" i="1"/>
  <c r="Q82" i="1"/>
  <c r="R82" i="1"/>
  <c r="S82" i="1"/>
  <c r="U82" i="1"/>
  <c r="V82" i="1"/>
  <c r="W82" i="1"/>
  <c r="X82" i="1"/>
  <c r="Y82" i="1"/>
  <c r="Z82" i="1"/>
  <c r="AA82" i="1"/>
  <c r="AB82" i="1"/>
  <c r="AC82" i="1"/>
  <c r="AD82" i="1"/>
  <c r="AE82" i="1"/>
  <c r="AF82" i="1"/>
  <c r="AH82" i="1"/>
  <c r="AI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R82" i="1"/>
  <c r="AQ82" i="1"/>
  <c r="AP82" i="1"/>
  <c r="AO82" i="1"/>
  <c r="AN82" i="1"/>
  <c r="AM82" i="1"/>
  <c r="AL82" i="1"/>
  <c r="AK82" i="1"/>
  <c r="AJ82" i="1"/>
  <c r="I82" i="1"/>
  <c r="H82" i="1"/>
  <c r="G82" i="1"/>
  <c r="F82" i="1"/>
  <c r="E82" i="1"/>
  <c r="D82" i="1"/>
  <c r="D11" i="1"/>
  <c r="E11" i="1"/>
  <c r="F11" i="1"/>
  <c r="G11" i="1"/>
  <c r="D25" i="1"/>
  <c r="E25" i="1"/>
  <c r="F25" i="1"/>
  <c r="G25" i="1"/>
  <c r="D30" i="1"/>
  <c r="E30" i="1"/>
  <c r="F30" i="1"/>
  <c r="G30" i="1"/>
  <c r="D33" i="1"/>
  <c r="E33" i="1"/>
  <c r="G33" i="1"/>
  <c r="D38" i="1"/>
  <c r="E38" i="1"/>
  <c r="F38" i="1"/>
  <c r="G38" i="1"/>
  <c r="D46" i="1"/>
  <c r="E46" i="1"/>
  <c r="F46" i="1"/>
  <c r="G46" i="1"/>
  <c r="D50" i="1"/>
  <c r="E50" i="1"/>
  <c r="F50" i="1"/>
  <c r="G50" i="1"/>
  <c r="BU31" i="1"/>
  <c r="BH31" i="1"/>
  <c r="AH31" i="1"/>
  <c r="AI31" i="1" s="1"/>
  <c r="AJ31" i="1" s="1"/>
  <c r="AK31" i="1" s="1"/>
  <c r="U52" i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U52" i="1" s="1"/>
  <c r="AV52" i="1" s="1"/>
  <c r="AW52" i="1" s="1"/>
  <c r="AX52" i="1" s="1"/>
  <c r="AY52" i="1" s="1"/>
  <c r="AZ52" i="1" s="1"/>
  <c r="BA52" i="1" s="1"/>
  <c r="BB52" i="1" s="1"/>
  <c r="BC52" i="1" s="1"/>
  <c r="U49" i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U48" i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U47" i="1"/>
  <c r="V47" i="1" s="1"/>
  <c r="W47" i="1" s="1"/>
  <c r="U40" i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U41" i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U42" i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U43" i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H43" i="1" s="1"/>
  <c r="U44" i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U45" i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CI45" i="1" s="1"/>
  <c r="CJ45" i="1" s="1"/>
  <c r="CK45" i="1" s="1"/>
  <c r="CL45" i="1" s="1"/>
  <c r="CM45" i="1" s="1"/>
  <c r="CN45" i="1" s="1"/>
  <c r="CO45" i="1" s="1"/>
  <c r="CP45" i="1" s="1"/>
  <c r="CQ45" i="1" s="1"/>
  <c r="CR45" i="1" s="1"/>
  <c r="CS45" i="1" s="1"/>
  <c r="U39" i="1"/>
  <c r="V39" i="1" s="1"/>
  <c r="W39" i="1" s="1"/>
  <c r="U37" i="1"/>
  <c r="V37" i="1" s="1"/>
  <c r="W37" i="1" s="1"/>
  <c r="X37" i="1" s="1"/>
  <c r="Y37" i="1" s="1"/>
  <c r="Z37" i="1" s="1"/>
  <c r="AA37" i="1" s="1"/>
  <c r="AB37" i="1" s="1"/>
  <c r="AC37" i="1" s="1"/>
  <c r="AD37" i="1" s="1"/>
  <c r="U36" i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U35" i="1"/>
  <c r="V35" i="1" s="1"/>
  <c r="W35" i="1" s="1"/>
  <c r="X35" i="1" s="1"/>
  <c r="Y35" i="1" s="1"/>
  <c r="Z35" i="1" s="1"/>
  <c r="AA35" i="1" s="1"/>
  <c r="AB35" i="1" s="1"/>
  <c r="AC35" i="1" s="1"/>
  <c r="AD35" i="1" s="1"/>
  <c r="U34" i="1"/>
  <c r="U32" i="1"/>
  <c r="V32" i="1" s="1"/>
  <c r="W32" i="1" s="1"/>
  <c r="X32" i="1" s="1"/>
  <c r="U31" i="1"/>
  <c r="V31" i="1" s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U28" i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U29" i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H29" i="1" s="1"/>
  <c r="AI29" i="1" s="1"/>
  <c r="AJ29" i="1" s="1"/>
  <c r="CF80" i="1"/>
  <c r="CE80" i="1"/>
  <c r="CD80" i="1"/>
  <c r="CC80" i="1"/>
  <c r="CB80" i="1"/>
  <c r="CA80" i="1"/>
  <c r="BZ80" i="1"/>
  <c r="BY80" i="1"/>
  <c r="BX80" i="1"/>
  <c r="BW80" i="1"/>
  <c r="BV80" i="1"/>
  <c r="BU8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CF64" i="1"/>
  <c r="CE64" i="1"/>
  <c r="CE63" i="1" s="1"/>
  <c r="CE61" i="1" s="1"/>
  <c r="CD64" i="1"/>
  <c r="CD63" i="1" s="1"/>
  <c r="CD61" i="1" s="1"/>
  <c r="CC64" i="1"/>
  <c r="CC63" i="1" s="1"/>
  <c r="CC61" i="1" s="1"/>
  <c r="CB64" i="1"/>
  <c r="CB63" i="1" s="1"/>
  <c r="CB61" i="1" s="1"/>
  <c r="CA64" i="1"/>
  <c r="BZ64" i="1"/>
  <c r="BZ63" i="1" s="1"/>
  <c r="BZ61" i="1" s="1"/>
  <c r="BY64" i="1"/>
  <c r="BY63" i="1" s="1"/>
  <c r="BY61" i="1" s="1"/>
  <c r="BX64" i="1"/>
  <c r="BX63" i="1" s="1"/>
  <c r="BX61" i="1" s="1"/>
  <c r="BW64" i="1"/>
  <c r="BW63" i="1" s="1"/>
  <c r="BW61" i="1" s="1"/>
  <c r="BV64" i="1"/>
  <c r="BV63" i="1" s="1"/>
  <c r="BV61" i="1" s="1"/>
  <c r="BU64" i="1"/>
  <c r="BU63" i="1" s="1"/>
  <c r="BU61" i="1" s="1"/>
  <c r="CF63" i="1"/>
  <c r="CF61" i="1" s="1"/>
  <c r="CA63" i="1"/>
  <c r="CA61" i="1" s="1"/>
  <c r="CF59" i="1"/>
  <c r="CE59" i="1"/>
  <c r="CD59" i="1"/>
  <c r="CC59" i="1"/>
  <c r="CB59" i="1"/>
  <c r="CA59" i="1"/>
  <c r="BZ59" i="1"/>
  <c r="BY59" i="1"/>
  <c r="BX59" i="1"/>
  <c r="BW59" i="1"/>
  <c r="BV59" i="1"/>
  <c r="BU59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I80" i="1"/>
  <c r="BS80" i="1"/>
  <c r="BR80" i="1"/>
  <c r="BQ80" i="1"/>
  <c r="BP80" i="1"/>
  <c r="BO80" i="1"/>
  <c r="BN80" i="1"/>
  <c r="BM80" i="1"/>
  <c r="BL80" i="1"/>
  <c r="BK80" i="1"/>
  <c r="BJ80" i="1"/>
  <c r="BH8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S64" i="1"/>
  <c r="BS63" i="1" s="1"/>
  <c r="BS61" i="1" s="1"/>
  <c r="BR64" i="1"/>
  <c r="BR63" i="1" s="1"/>
  <c r="BR61" i="1" s="1"/>
  <c r="BQ64" i="1"/>
  <c r="BQ63" i="1" s="1"/>
  <c r="BQ61" i="1" s="1"/>
  <c r="BP64" i="1"/>
  <c r="BP63" i="1" s="1"/>
  <c r="BP61" i="1" s="1"/>
  <c r="BO64" i="1"/>
  <c r="BO63" i="1" s="1"/>
  <c r="BO61" i="1" s="1"/>
  <c r="BN64" i="1"/>
  <c r="BN63" i="1" s="1"/>
  <c r="BN61" i="1" s="1"/>
  <c r="BM64" i="1"/>
  <c r="BM63" i="1" s="1"/>
  <c r="BM61" i="1" s="1"/>
  <c r="BL64" i="1"/>
  <c r="BL63" i="1" s="1"/>
  <c r="BL61" i="1" s="1"/>
  <c r="BK64" i="1"/>
  <c r="BK63" i="1" s="1"/>
  <c r="BK61" i="1" s="1"/>
  <c r="BJ64" i="1"/>
  <c r="BJ63" i="1" s="1"/>
  <c r="BJ61" i="1" s="1"/>
  <c r="BI64" i="1"/>
  <c r="BI63" i="1" s="1"/>
  <c r="BI61" i="1" s="1"/>
  <c r="BH64" i="1"/>
  <c r="BH63" i="1" s="1"/>
  <c r="BH61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AV80" i="1"/>
  <c r="BF80" i="1"/>
  <c r="BE80" i="1"/>
  <c r="BD80" i="1"/>
  <c r="BC80" i="1"/>
  <c r="BB80" i="1"/>
  <c r="BA80" i="1"/>
  <c r="AZ80" i="1"/>
  <c r="AY80" i="1"/>
  <c r="AX80" i="1"/>
  <c r="AW80" i="1"/>
  <c r="AU8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BF64" i="1"/>
  <c r="BF63" i="1" s="1"/>
  <c r="BF61" i="1" s="1"/>
  <c r="BE64" i="1"/>
  <c r="BE63" i="1" s="1"/>
  <c r="BE61" i="1" s="1"/>
  <c r="BD64" i="1"/>
  <c r="BD63" i="1" s="1"/>
  <c r="BD61" i="1" s="1"/>
  <c r="BC64" i="1"/>
  <c r="BC63" i="1" s="1"/>
  <c r="BC61" i="1" s="1"/>
  <c r="BB64" i="1"/>
  <c r="BB63" i="1" s="1"/>
  <c r="BB61" i="1" s="1"/>
  <c r="BA64" i="1"/>
  <c r="BA63" i="1" s="1"/>
  <c r="BA61" i="1" s="1"/>
  <c r="AZ64" i="1"/>
  <c r="AY64" i="1"/>
  <c r="AY63" i="1" s="1"/>
  <c r="AY61" i="1" s="1"/>
  <c r="AX64" i="1"/>
  <c r="AX63" i="1" s="1"/>
  <c r="AX61" i="1" s="1"/>
  <c r="AW64" i="1"/>
  <c r="AW63" i="1" s="1"/>
  <c r="AW61" i="1" s="1"/>
  <c r="AV64" i="1"/>
  <c r="AV63" i="1" s="1"/>
  <c r="AV61" i="1" s="1"/>
  <c r="AU64" i="1"/>
  <c r="AU63" i="1" s="1"/>
  <c r="AU61" i="1" s="1"/>
  <c r="AZ63" i="1"/>
  <c r="AZ61" i="1" s="1"/>
  <c r="BF59" i="1"/>
  <c r="BE59" i="1"/>
  <c r="BD59" i="1"/>
  <c r="BC59" i="1"/>
  <c r="BB59" i="1"/>
  <c r="BA59" i="1"/>
  <c r="AZ59" i="1"/>
  <c r="AY59" i="1"/>
  <c r="AX59" i="1"/>
  <c r="AW59" i="1"/>
  <c r="AV59" i="1"/>
  <c r="AU59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J60" i="2"/>
  <c r="BW22" i="1" s="1"/>
  <c r="J50" i="2"/>
  <c r="BK22" i="1" s="1"/>
  <c r="J40" i="2"/>
  <c r="AZ22" i="1" s="1"/>
  <c r="D36" i="2"/>
  <c r="D46" i="2" s="1"/>
  <c r="D34" i="2"/>
  <c r="D44" i="2" s="1"/>
  <c r="D26" i="2"/>
  <c r="D24" i="2"/>
  <c r="H24" i="2" s="1"/>
  <c r="I24" i="2" s="1"/>
  <c r="J24" i="2" s="1"/>
  <c r="D18" i="2"/>
  <c r="J18" i="2" s="1"/>
  <c r="X21" i="1" s="1"/>
  <c r="D17" i="2"/>
  <c r="D27" i="2" s="1"/>
  <c r="D16" i="2"/>
  <c r="D14" i="2"/>
  <c r="H14" i="2" s="1"/>
  <c r="I14" i="2" s="1"/>
  <c r="J14" i="2" s="1"/>
  <c r="CC19" i="1" s="1"/>
  <c r="D13" i="2"/>
  <c r="D23" i="2" s="1"/>
  <c r="D33" i="2" s="1"/>
  <c r="AJ80" i="1"/>
  <c r="AM80" i="1"/>
  <c r="AL80" i="1"/>
  <c r="AS80" i="1"/>
  <c r="AR80" i="1"/>
  <c r="AQ80" i="1"/>
  <c r="AP80" i="1"/>
  <c r="AO80" i="1"/>
  <c r="AN80" i="1"/>
  <c r="AK8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S64" i="1"/>
  <c r="AS63" i="1" s="1"/>
  <c r="AS61" i="1" s="1"/>
  <c r="AR64" i="1"/>
  <c r="AR63" i="1" s="1"/>
  <c r="AR61" i="1" s="1"/>
  <c r="AQ64" i="1"/>
  <c r="AQ63" i="1" s="1"/>
  <c r="AQ61" i="1" s="1"/>
  <c r="AP64" i="1"/>
  <c r="AP63" i="1" s="1"/>
  <c r="AP61" i="1" s="1"/>
  <c r="AO64" i="1"/>
  <c r="AN64" i="1"/>
  <c r="AN63" i="1" s="1"/>
  <c r="AN61" i="1" s="1"/>
  <c r="AM64" i="1"/>
  <c r="AM63" i="1" s="1"/>
  <c r="AM61" i="1" s="1"/>
  <c r="AL64" i="1"/>
  <c r="AL63" i="1" s="1"/>
  <c r="AL61" i="1" s="1"/>
  <c r="AK64" i="1"/>
  <c r="AK63" i="1" s="1"/>
  <c r="AK61" i="1" s="1"/>
  <c r="AJ64" i="1"/>
  <c r="AJ63" i="1" s="1"/>
  <c r="AJ61" i="1" s="1"/>
  <c r="AI64" i="1"/>
  <c r="AI63" i="1" s="1"/>
  <c r="AI61" i="1" s="1"/>
  <c r="AH64" i="1"/>
  <c r="AH63" i="1" s="1"/>
  <c r="AH61" i="1" s="1"/>
  <c r="AO63" i="1"/>
  <c r="AO61" i="1" s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F70" i="1"/>
  <c r="AE70" i="1"/>
  <c r="AD70" i="1"/>
  <c r="AC70" i="1"/>
  <c r="AB70" i="1"/>
  <c r="AA70" i="1"/>
  <c r="Z70" i="1"/>
  <c r="Y70" i="1"/>
  <c r="X70" i="1"/>
  <c r="W70" i="1"/>
  <c r="V70" i="1"/>
  <c r="U70" i="1"/>
  <c r="AF67" i="1"/>
  <c r="AE67" i="1"/>
  <c r="AD67" i="1"/>
  <c r="AC67" i="1"/>
  <c r="AB67" i="1"/>
  <c r="AA67" i="1"/>
  <c r="Z67" i="1"/>
  <c r="Y67" i="1"/>
  <c r="X67" i="1"/>
  <c r="W67" i="1"/>
  <c r="V67" i="1"/>
  <c r="U67" i="1"/>
  <c r="AF64" i="1"/>
  <c r="AF63" i="1" s="1"/>
  <c r="AF61" i="1" s="1"/>
  <c r="AE64" i="1"/>
  <c r="AE63" i="1" s="1"/>
  <c r="AE61" i="1" s="1"/>
  <c r="AD64" i="1"/>
  <c r="AD63" i="1" s="1"/>
  <c r="AD61" i="1" s="1"/>
  <c r="AC64" i="1"/>
  <c r="AC63" i="1" s="1"/>
  <c r="AC61" i="1" s="1"/>
  <c r="AB64" i="1"/>
  <c r="AB63" i="1" s="1"/>
  <c r="AB61" i="1" s="1"/>
  <c r="AA64" i="1"/>
  <c r="AA63" i="1" s="1"/>
  <c r="AA61" i="1" s="1"/>
  <c r="Z64" i="1"/>
  <c r="Z63" i="1" s="1"/>
  <c r="Z61" i="1" s="1"/>
  <c r="Y64" i="1"/>
  <c r="Y63" i="1" s="1"/>
  <c r="Y61" i="1" s="1"/>
  <c r="X64" i="1"/>
  <c r="X63" i="1" s="1"/>
  <c r="X61" i="1" s="1"/>
  <c r="W64" i="1"/>
  <c r="W63" i="1" s="1"/>
  <c r="W61" i="1" s="1"/>
  <c r="V64" i="1"/>
  <c r="V63" i="1" s="1"/>
  <c r="V61" i="1" s="1"/>
  <c r="U64" i="1"/>
  <c r="U63" i="1" s="1"/>
  <c r="U61" i="1" s="1"/>
  <c r="AF59" i="1"/>
  <c r="AE59" i="1"/>
  <c r="AD59" i="1"/>
  <c r="AC59" i="1"/>
  <c r="AB59" i="1"/>
  <c r="AA59" i="1"/>
  <c r="Z59" i="1"/>
  <c r="Y59" i="1"/>
  <c r="X59" i="1"/>
  <c r="W59" i="1"/>
  <c r="V59" i="1"/>
  <c r="U59" i="1"/>
  <c r="AF54" i="1"/>
  <c r="AE54" i="1"/>
  <c r="AD54" i="1"/>
  <c r="AC54" i="1"/>
  <c r="AB54" i="1"/>
  <c r="AA54" i="1"/>
  <c r="Z54" i="1"/>
  <c r="Y54" i="1"/>
  <c r="X54" i="1"/>
  <c r="W54" i="1"/>
  <c r="V54" i="1"/>
  <c r="U54" i="1"/>
  <c r="K21" i="1"/>
  <c r="L21" i="1"/>
  <c r="M21" i="1"/>
  <c r="N21" i="1"/>
  <c r="O21" i="1"/>
  <c r="P21" i="1"/>
  <c r="Q21" i="1"/>
  <c r="R21" i="1"/>
  <c r="S21" i="1"/>
  <c r="J21" i="1"/>
  <c r="D79" i="1"/>
  <c r="D77" i="1" s="1"/>
  <c r="E79" i="1"/>
  <c r="E77" i="1" s="1"/>
  <c r="E80" i="1"/>
  <c r="F80" i="1"/>
  <c r="G80" i="1"/>
  <c r="F79" i="1"/>
  <c r="F77" i="1" s="1"/>
  <c r="G77" i="1"/>
  <c r="H25" i="1"/>
  <c r="H30" i="1"/>
  <c r="H33" i="1"/>
  <c r="H38" i="1"/>
  <c r="H46" i="1"/>
  <c r="H50" i="1"/>
  <c r="H54" i="1"/>
  <c r="H59" i="1"/>
  <c r="H64" i="1"/>
  <c r="H63" i="1" s="1"/>
  <c r="H61" i="1" s="1"/>
  <c r="H67" i="1"/>
  <c r="H70" i="1"/>
  <c r="H79" i="1"/>
  <c r="H77" i="1" s="1"/>
  <c r="H80" i="1"/>
  <c r="I50" i="1"/>
  <c r="J30" i="2"/>
  <c r="AN22" i="1" s="1"/>
  <c r="H26" i="2"/>
  <c r="I26" i="2" s="1"/>
  <c r="J26" i="2" s="1"/>
  <c r="AI16" i="1" s="1"/>
  <c r="J20" i="2"/>
  <c r="AA22" i="1" s="1"/>
  <c r="H17" i="2"/>
  <c r="I17" i="2" s="1"/>
  <c r="J17" i="2" s="1"/>
  <c r="H16" i="2"/>
  <c r="I16" i="2" s="1"/>
  <c r="Y16" i="1" s="1"/>
  <c r="H13" i="2"/>
  <c r="I13" i="2" s="1"/>
  <c r="J10" i="2"/>
  <c r="CW79" i="1" l="1"/>
  <c r="CW77" i="1" s="1"/>
  <c r="CW53" i="1" s="1"/>
  <c r="CX2" i="1"/>
  <c r="CI40" i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U40" i="1" s="1"/>
  <c r="CH40" i="1"/>
  <c r="AE35" i="1"/>
  <c r="AF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U35" i="1" s="1"/>
  <c r="AV35" i="1" s="1"/>
  <c r="AE37" i="1"/>
  <c r="AF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U41" i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BH28" i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U36" i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O58" i="1"/>
  <c r="CN56" i="1"/>
  <c r="CJ51" i="1"/>
  <c r="CJ79" i="1"/>
  <c r="CJ77" i="1" s="1"/>
  <c r="CJ53" i="1" s="1"/>
  <c r="CK2" i="1"/>
  <c r="D2" i="27"/>
  <c r="C12" i="3"/>
  <c r="H10" i="3"/>
  <c r="G30" i="3"/>
  <c r="D7" i="3"/>
  <c r="E53" i="1"/>
  <c r="D30" i="22"/>
  <c r="E30" i="22" s="1"/>
  <c r="G30" i="22" s="1"/>
  <c r="E32" i="22"/>
  <c r="E29" i="22"/>
  <c r="F29" i="22" s="1"/>
  <c r="D31" i="22"/>
  <c r="E31" i="22" s="1"/>
  <c r="H31" i="22" s="1"/>
  <c r="C22" i="22"/>
  <c r="C23" i="22" s="1"/>
  <c r="AB21" i="1"/>
  <c r="D43" i="2"/>
  <c r="H33" i="2"/>
  <c r="I33" i="2" s="1"/>
  <c r="H44" i="2"/>
  <c r="I44" i="2" s="1"/>
  <c r="J44" i="2" s="1"/>
  <c r="D54" i="2"/>
  <c r="H54" i="2" s="1"/>
  <c r="I54" i="2" s="1"/>
  <c r="J54" i="2" s="1"/>
  <c r="H27" i="2"/>
  <c r="I27" i="2" s="1"/>
  <c r="J27" i="2" s="1"/>
  <c r="AS18" i="1" s="1"/>
  <c r="D37" i="2"/>
  <c r="H56" i="2"/>
  <c r="I56" i="2" s="1"/>
  <c r="J56" i="2" s="1"/>
  <c r="CE16" i="1" s="1"/>
  <c r="H46" i="2"/>
  <c r="I46" i="2" s="1"/>
  <c r="J46" i="2" s="1"/>
  <c r="D28" i="2"/>
  <c r="AF21" i="1"/>
  <c r="AS19" i="1"/>
  <c r="AK19" i="1"/>
  <c r="BL19" i="1"/>
  <c r="BV22" i="1"/>
  <c r="CB19" i="1"/>
  <c r="AR19" i="1"/>
  <c r="AJ19" i="1"/>
  <c r="BS19" i="1"/>
  <c r="BK19" i="1"/>
  <c r="CA19" i="1"/>
  <c r="AA21" i="1"/>
  <c r="BH19" i="1"/>
  <c r="BU19" i="1"/>
  <c r="AP19" i="1"/>
  <c r="BQ19" i="1"/>
  <c r="BI19" i="1"/>
  <c r="CD22" i="1"/>
  <c r="BY19" i="1"/>
  <c r="AQ19" i="1"/>
  <c r="AI19" i="1"/>
  <c r="BR19" i="1"/>
  <c r="BJ19" i="1"/>
  <c r="BZ19" i="1"/>
  <c r="AO19" i="1"/>
  <c r="BP19" i="1"/>
  <c r="CC22" i="1"/>
  <c r="CF19" i="1"/>
  <c r="BX19" i="1"/>
  <c r="H23" i="2"/>
  <c r="I23" i="2" s="1"/>
  <c r="J23" i="2" s="1"/>
  <c r="AF22" i="1"/>
  <c r="AE22" i="1"/>
  <c r="AN19" i="1"/>
  <c r="BP22" i="1"/>
  <c r="BO19" i="1"/>
  <c r="CB22" i="1"/>
  <c r="CE19" i="1"/>
  <c r="BW19" i="1"/>
  <c r="X22" i="1"/>
  <c r="AM19" i="1"/>
  <c r="AP16" i="1"/>
  <c r="BN19" i="1"/>
  <c r="CA22" i="1"/>
  <c r="CD19" i="1"/>
  <c r="BV19" i="1"/>
  <c r="W22" i="1"/>
  <c r="AL19" i="1"/>
  <c r="AO16" i="1"/>
  <c r="BM19" i="1"/>
  <c r="BZ22" i="1"/>
  <c r="BE22" i="1"/>
  <c r="AU22" i="1"/>
  <c r="AW22" i="1"/>
  <c r="AY22" i="1"/>
  <c r="G2" i="3"/>
  <c r="H2" i="3" s="1"/>
  <c r="BU22" i="1"/>
  <c r="BY22" i="1"/>
  <c r="CF22" i="1"/>
  <c r="BX22" i="1"/>
  <c r="CE22" i="1"/>
  <c r="BW16" i="1"/>
  <c r="CD16" i="1"/>
  <c r="BZ16" i="1"/>
  <c r="BR22" i="1"/>
  <c r="BJ22" i="1"/>
  <c r="BQ22" i="1"/>
  <c r="BI22" i="1"/>
  <c r="BO22" i="1"/>
  <c r="BN22" i="1"/>
  <c r="BM22" i="1"/>
  <c r="BH22" i="1"/>
  <c r="BL22" i="1"/>
  <c r="BS22" i="1"/>
  <c r="BF22" i="1"/>
  <c r="AX22" i="1"/>
  <c r="BD22" i="1"/>
  <c r="AV22" i="1"/>
  <c r="BC22" i="1"/>
  <c r="BB22" i="1"/>
  <c r="BA22" i="1"/>
  <c r="AS22" i="1"/>
  <c r="AK22" i="1"/>
  <c r="AM22" i="1"/>
  <c r="AR22" i="1"/>
  <c r="AJ22" i="1"/>
  <c r="AL22" i="1"/>
  <c r="AQ22" i="1"/>
  <c r="AI22" i="1"/>
  <c r="AP22" i="1"/>
  <c r="AH22" i="1"/>
  <c r="AO22" i="1"/>
  <c r="AQ18" i="1"/>
  <c r="AN18" i="1"/>
  <c r="AN16" i="1"/>
  <c r="AM16" i="1"/>
  <c r="AL16" i="1"/>
  <c r="AS16" i="1"/>
  <c r="AK16" i="1"/>
  <c r="AH16" i="1"/>
  <c r="AR16" i="1"/>
  <c r="AJ16" i="1"/>
  <c r="AQ16" i="1"/>
  <c r="Z22" i="1"/>
  <c r="U22" i="1"/>
  <c r="Y22" i="1"/>
  <c r="AD22" i="1"/>
  <c r="V22" i="1"/>
  <c r="AC22" i="1"/>
  <c r="AB22" i="1"/>
  <c r="U16" i="1"/>
  <c r="X39" i="1"/>
  <c r="Y39" i="1" s="1"/>
  <c r="W38" i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X47" i="1"/>
  <c r="X46" i="1" s="1"/>
  <c r="W46" i="1"/>
  <c r="AK29" i="1"/>
  <c r="AL29" i="1" s="1"/>
  <c r="AM29" i="1" s="1"/>
  <c r="AN29" i="1" s="1"/>
  <c r="AO29" i="1" s="1"/>
  <c r="AP29" i="1" s="1"/>
  <c r="AQ29" i="1" s="1"/>
  <c r="AR29" i="1" s="1"/>
  <c r="AS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U30" i="1"/>
  <c r="W30" i="1"/>
  <c r="V26" i="1"/>
  <c r="U25" i="1"/>
  <c r="U46" i="1"/>
  <c r="V46" i="1"/>
  <c r="V30" i="1"/>
  <c r="U33" i="1"/>
  <c r="BV31" i="1"/>
  <c r="BI31" i="1"/>
  <c r="BD52" i="1"/>
  <c r="AV27" i="1"/>
  <c r="AL31" i="1"/>
  <c r="X38" i="1"/>
  <c r="U38" i="1"/>
  <c r="V38" i="1"/>
  <c r="V34" i="1"/>
  <c r="Y32" i="1"/>
  <c r="X30" i="1"/>
  <c r="J33" i="2"/>
  <c r="H34" i="2"/>
  <c r="I34" i="2" s="1"/>
  <c r="H36" i="2"/>
  <c r="I36" i="2" s="1"/>
  <c r="J36" i="2" s="1"/>
  <c r="Y18" i="1"/>
  <c r="Z21" i="1"/>
  <c r="AF18" i="1"/>
  <c r="X18" i="1"/>
  <c r="Y21" i="1"/>
  <c r="AE18" i="1"/>
  <c r="W18" i="1"/>
  <c r="U18" i="1"/>
  <c r="AE21" i="1"/>
  <c r="W21" i="1"/>
  <c r="AC18" i="1"/>
  <c r="Z18" i="1"/>
  <c r="AD21" i="1"/>
  <c r="V21" i="1"/>
  <c r="AB18" i="1"/>
  <c r="AD18" i="1"/>
  <c r="V18" i="1"/>
  <c r="U21" i="1"/>
  <c r="AC21" i="1"/>
  <c r="AA18" i="1"/>
  <c r="Z16" i="1"/>
  <c r="AF16" i="1"/>
  <c r="X16" i="1"/>
  <c r="AE16" i="1"/>
  <c r="W16" i="1"/>
  <c r="AD16" i="1"/>
  <c r="V16" i="1"/>
  <c r="AC16" i="1"/>
  <c r="AB16" i="1"/>
  <c r="AA16" i="1"/>
  <c r="Z19" i="1"/>
  <c r="AA19" i="1"/>
  <c r="W19" i="1"/>
  <c r="AB19" i="1"/>
  <c r="AH19" i="1"/>
  <c r="AC19" i="1"/>
  <c r="U19" i="1"/>
  <c r="V19" i="1"/>
  <c r="AD19" i="1"/>
  <c r="X19" i="1"/>
  <c r="AF19" i="1"/>
  <c r="Y19" i="1"/>
  <c r="AE19" i="1"/>
  <c r="J13" i="2"/>
  <c r="CX79" i="1" l="1"/>
  <c r="CX77" i="1" s="1"/>
  <c r="CX53" i="1" s="1"/>
  <c r="CY2" i="1"/>
  <c r="CV40" i="1"/>
  <c r="CU38" i="1"/>
  <c r="BU28" i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H28" i="1" s="1"/>
  <c r="BU29" i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U29" i="1" s="1"/>
  <c r="CV29" i="1" s="1"/>
  <c r="CW29" i="1" s="1"/>
  <c r="CX29" i="1" s="1"/>
  <c r="CY29" i="1" s="1"/>
  <c r="CZ29" i="1" s="1"/>
  <c r="DA29" i="1" s="1"/>
  <c r="DB29" i="1" s="1"/>
  <c r="DC29" i="1" s="1"/>
  <c r="DD29" i="1" s="1"/>
  <c r="DE29" i="1" s="1"/>
  <c r="DF29" i="1" s="1"/>
  <c r="BU37" i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O56" i="1"/>
  <c r="CP58" i="1"/>
  <c r="H32" i="22"/>
  <c r="I32" i="22" s="1"/>
  <c r="CK51" i="1"/>
  <c r="CK79" i="1"/>
  <c r="CK77" i="1" s="1"/>
  <c r="CK53" i="1" s="1"/>
  <c r="CL2" i="1"/>
  <c r="BM16" i="1"/>
  <c r="BN16" i="1"/>
  <c r="BJ16" i="1"/>
  <c r="F7" i="3"/>
  <c r="H28" i="22"/>
  <c r="I28" i="22" s="1"/>
  <c r="J28" i="22" s="1"/>
  <c r="F58" i="1" s="1"/>
  <c r="F56" i="1" s="1"/>
  <c r="F53" i="1" s="1"/>
  <c r="G32" i="22"/>
  <c r="G31" i="22"/>
  <c r="I31" i="22"/>
  <c r="F31" i="22"/>
  <c r="F32" i="22"/>
  <c r="CF56" i="1"/>
  <c r="H30" i="22"/>
  <c r="I30" i="22" s="1"/>
  <c r="F30" i="22"/>
  <c r="G29" i="22"/>
  <c r="H29" i="22"/>
  <c r="I29" i="22" s="1"/>
  <c r="AO17" i="1"/>
  <c r="AP17" i="1"/>
  <c r="AI17" i="1"/>
  <c r="AQ17" i="1"/>
  <c r="AJ17" i="1"/>
  <c r="AR17" i="1"/>
  <c r="AL17" i="1"/>
  <c r="AK17" i="1"/>
  <c r="AS17" i="1"/>
  <c r="AH17" i="1"/>
  <c r="AM17" i="1"/>
  <c r="AN17" i="1"/>
  <c r="AP18" i="1"/>
  <c r="BY16" i="1"/>
  <c r="CC16" i="1"/>
  <c r="BI16" i="1"/>
  <c r="CF16" i="1"/>
  <c r="BL16" i="1"/>
  <c r="BP16" i="1"/>
  <c r="BQ16" i="1"/>
  <c r="BX16" i="1"/>
  <c r="CB16" i="1"/>
  <c r="BU16" i="1"/>
  <c r="AI18" i="1"/>
  <c r="BH16" i="1"/>
  <c r="BR16" i="1"/>
  <c r="D47" i="2"/>
  <c r="H37" i="2"/>
  <c r="I37" i="2" s="1"/>
  <c r="J37" i="2" s="1"/>
  <c r="BC17" i="1"/>
  <c r="AV17" i="1"/>
  <c r="BD17" i="1"/>
  <c r="AW17" i="1"/>
  <c r="BE17" i="1"/>
  <c r="AX17" i="1"/>
  <c r="BF17" i="1"/>
  <c r="AZ17" i="1"/>
  <c r="AY17" i="1"/>
  <c r="BA17" i="1"/>
  <c r="BB17" i="1"/>
  <c r="AU17" i="1"/>
  <c r="CA16" i="1"/>
  <c r="BK16" i="1"/>
  <c r="AM18" i="1"/>
  <c r="AH18" i="1"/>
  <c r="AK18" i="1"/>
  <c r="AL18" i="1"/>
  <c r="AO18" i="1"/>
  <c r="AJ18" i="1"/>
  <c r="BO16" i="1"/>
  <c r="BS16" i="1"/>
  <c r="AR18" i="1"/>
  <c r="BV16" i="1"/>
  <c r="J28" i="2"/>
  <c r="D38" i="2"/>
  <c r="D53" i="2"/>
  <c r="H53" i="2" s="1"/>
  <c r="I53" i="2" s="1"/>
  <c r="J53" i="2" s="1"/>
  <c r="H43" i="2"/>
  <c r="I43" i="2" s="1"/>
  <c r="J43" i="2" s="1"/>
  <c r="AV16" i="1"/>
  <c r="BD16" i="1"/>
  <c r="AW16" i="1"/>
  <c r="BE16" i="1"/>
  <c r="AX16" i="1"/>
  <c r="BF16" i="1"/>
  <c r="BC16" i="1"/>
  <c r="AY16" i="1"/>
  <c r="AU16" i="1"/>
  <c r="AZ16" i="1"/>
  <c r="BA16" i="1"/>
  <c r="BB16" i="1"/>
  <c r="Y47" i="1"/>
  <c r="Z47" i="1" s="1"/>
  <c r="AW35" i="1"/>
  <c r="AX35" i="1" s="1"/>
  <c r="AY35" i="1" s="1"/>
  <c r="AZ35" i="1" s="1"/>
  <c r="BA35" i="1" s="1"/>
  <c r="BB35" i="1" s="1"/>
  <c r="BC35" i="1" s="1"/>
  <c r="BD35" i="1" s="1"/>
  <c r="BE35" i="1" s="1"/>
  <c r="BF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V33" i="1"/>
  <c r="W34" i="1"/>
  <c r="AW27" i="1"/>
  <c r="AX27" i="1" s="1"/>
  <c r="AY27" i="1" s="1"/>
  <c r="AZ27" i="1" s="1"/>
  <c r="BA27" i="1" s="1"/>
  <c r="BB27" i="1" s="1"/>
  <c r="BC27" i="1" s="1"/>
  <c r="BD27" i="1" s="1"/>
  <c r="BE27" i="1" s="1"/>
  <c r="BF27" i="1" s="1"/>
  <c r="V25" i="1"/>
  <c r="W26" i="1"/>
  <c r="BE52" i="1"/>
  <c r="AM31" i="1"/>
  <c r="Y38" i="1"/>
  <c r="Z39" i="1"/>
  <c r="Z32" i="1"/>
  <c r="Y30" i="1"/>
  <c r="J34" i="2"/>
  <c r="X17" i="1"/>
  <c r="AF17" i="1"/>
  <c r="Y17" i="1"/>
  <c r="AA17" i="1"/>
  <c r="W17" i="1"/>
  <c r="Z17" i="1"/>
  <c r="AB17" i="1"/>
  <c r="AC17" i="1"/>
  <c r="U17" i="1"/>
  <c r="V17" i="1"/>
  <c r="AD17" i="1"/>
  <c r="AE17" i="1"/>
  <c r="CY79" i="1" l="1"/>
  <c r="CY77" i="1" s="1"/>
  <c r="CY53" i="1" s="1"/>
  <c r="CZ2" i="1"/>
  <c r="CW40" i="1"/>
  <c r="CV38" i="1"/>
  <c r="CH37" i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CI28" i="1"/>
  <c r="CH25" i="1"/>
  <c r="BU35" i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Q58" i="1"/>
  <c r="CP56" i="1"/>
  <c r="J32" i="22"/>
  <c r="CL79" i="1"/>
  <c r="CL77" i="1" s="1"/>
  <c r="CL53" i="1" s="1"/>
  <c r="CM2" i="1"/>
  <c r="CL51" i="1"/>
  <c r="K28" i="22"/>
  <c r="G58" i="1"/>
  <c r="G56" i="1" s="1"/>
  <c r="G53" i="1" s="1"/>
  <c r="J31" i="22"/>
  <c r="BS56" i="1"/>
  <c r="BK56" i="1"/>
  <c r="BL56" i="1"/>
  <c r="BO56" i="1"/>
  <c r="BH56" i="1"/>
  <c r="BP56" i="1"/>
  <c r="BI56" i="1"/>
  <c r="BM56" i="1"/>
  <c r="BQ56" i="1"/>
  <c r="K32" i="22"/>
  <c r="BJ56" i="1"/>
  <c r="BN56" i="1"/>
  <c r="K33" i="22"/>
  <c r="BV56" i="1"/>
  <c r="CB56" i="1"/>
  <c r="BY56" i="1"/>
  <c r="CE56" i="1"/>
  <c r="BZ56" i="1"/>
  <c r="BX56" i="1"/>
  <c r="CC56" i="1"/>
  <c r="BU56" i="1"/>
  <c r="J30" i="22"/>
  <c r="BW56" i="1"/>
  <c r="CA56" i="1"/>
  <c r="CD56" i="1"/>
  <c r="H58" i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J38" i="2"/>
  <c r="D48" i="2"/>
  <c r="Y46" i="1"/>
  <c r="AI21" i="1"/>
  <c r="AQ21" i="1"/>
  <c r="AJ21" i="1"/>
  <c r="AR21" i="1"/>
  <c r="AK21" i="1"/>
  <c r="AS21" i="1"/>
  <c r="AL21" i="1"/>
  <c r="AH21" i="1"/>
  <c r="AN21" i="1"/>
  <c r="AM21" i="1"/>
  <c r="AO21" i="1"/>
  <c r="AP21" i="1"/>
  <c r="BM17" i="1"/>
  <c r="BN17" i="1"/>
  <c r="BO17" i="1"/>
  <c r="BP17" i="1"/>
  <c r="BJ17" i="1"/>
  <c r="BR17" i="1"/>
  <c r="BI17" i="1"/>
  <c r="BQ17" i="1"/>
  <c r="BH17" i="1"/>
  <c r="BK17" i="1"/>
  <c r="BS17" i="1"/>
  <c r="BL17" i="1"/>
  <c r="CB17" i="1"/>
  <c r="CC17" i="1"/>
  <c r="BV17" i="1"/>
  <c r="CD17" i="1"/>
  <c r="BW17" i="1"/>
  <c r="CE17" i="1"/>
  <c r="BY17" i="1"/>
  <c r="BX17" i="1"/>
  <c r="CF17" i="1"/>
  <c r="BZ17" i="1"/>
  <c r="BU17" i="1"/>
  <c r="CA17" i="1"/>
  <c r="BA18" i="1"/>
  <c r="AZ18" i="1"/>
  <c r="AX18" i="1"/>
  <c r="BF18" i="1"/>
  <c r="AW18" i="1"/>
  <c r="BD18" i="1"/>
  <c r="AU18" i="1"/>
  <c r="AV18" i="1"/>
  <c r="BC18" i="1"/>
  <c r="BE18" i="1"/>
  <c r="BB18" i="1"/>
  <c r="AY18" i="1"/>
  <c r="D57" i="2"/>
  <c r="H57" i="2" s="1"/>
  <c r="I57" i="2" s="1"/>
  <c r="J57" i="2" s="1"/>
  <c r="H47" i="2"/>
  <c r="I47" i="2" s="1"/>
  <c r="J47" i="2" s="1"/>
  <c r="AW19" i="1"/>
  <c r="BE19" i="1"/>
  <c r="AX19" i="1"/>
  <c r="BF19" i="1"/>
  <c r="AY19" i="1"/>
  <c r="AZ19" i="1"/>
  <c r="BB19" i="1"/>
  <c r="BA19" i="1"/>
  <c r="BC19" i="1"/>
  <c r="AU19" i="1"/>
  <c r="AV19" i="1"/>
  <c r="BD19" i="1"/>
  <c r="X34" i="1"/>
  <c r="W33" i="1"/>
  <c r="X26" i="1"/>
  <c r="W25" i="1"/>
  <c r="BF52" i="1"/>
  <c r="AN31" i="1"/>
  <c r="Z46" i="1"/>
  <c r="AA47" i="1"/>
  <c r="AA39" i="1"/>
  <c r="Z38" i="1"/>
  <c r="Z30" i="1"/>
  <c r="AA32" i="1"/>
  <c r="CZ79" i="1" l="1"/>
  <c r="CZ77" i="1" s="1"/>
  <c r="CZ53" i="1" s="1"/>
  <c r="DA2" i="1"/>
  <c r="CW38" i="1"/>
  <c r="CX40" i="1"/>
  <c r="CH35" i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CJ28" i="1"/>
  <c r="CI25" i="1"/>
  <c r="CQ56" i="1"/>
  <c r="CR58" i="1"/>
  <c r="U58" i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H58" i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CM79" i="1"/>
  <c r="CM77" i="1" s="1"/>
  <c r="CM53" i="1" s="1"/>
  <c r="CN2" i="1"/>
  <c r="BR56" i="1"/>
  <c r="AU58" i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H56" i="1"/>
  <c r="H53" i="1" s="1"/>
  <c r="CM51" i="1"/>
  <c r="AW56" i="1"/>
  <c r="AZ56" i="1"/>
  <c r="BF56" i="1"/>
  <c r="BE56" i="1"/>
  <c r="K31" i="22"/>
  <c r="AX56" i="1"/>
  <c r="AV56" i="1"/>
  <c r="BA56" i="1"/>
  <c r="BB56" i="1"/>
  <c r="AY56" i="1"/>
  <c r="BC56" i="1"/>
  <c r="AU56" i="1"/>
  <c r="Q56" i="1"/>
  <c r="K56" i="1"/>
  <c r="AP56" i="1"/>
  <c r="L56" i="1"/>
  <c r="AO56" i="1"/>
  <c r="K30" i="22"/>
  <c r="J56" i="1"/>
  <c r="AH56" i="1"/>
  <c r="AM56" i="1"/>
  <c r="AN56" i="1"/>
  <c r="O56" i="1"/>
  <c r="P56" i="1"/>
  <c r="AK56" i="1"/>
  <c r="AS56" i="1"/>
  <c r="AL56" i="1"/>
  <c r="AI56" i="1"/>
  <c r="AQ56" i="1"/>
  <c r="AJ56" i="1"/>
  <c r="S56" i="1"/>
  <c r="N56" i="1"/>
  <c r="M56" i="1"/>
  <c r="AD56" i="1"/>
  <c r="Z56" i="1"/>
  <c r="V56" i="1"/>
  <c r="AE56" i="1"/>
  <c r="AA56" i="1"/>
  <c r="W56" i="1"/>
  <c r="AF56" i="1"/>
  <c r="AB56" i="1"/>
  <c r="X56" i="1"/>
  <c r="K29" i="22"/>
  <c r="AC56" i="1"/>
  <c r="Y56" i="1"/>
  <c r="U56" i="1"/>
  <c r="BZ18" i="1"/>
  <c r="CF18" i="1"/>
  <c r="BX18" i="1"/>
  <c r="BY18" i="1"/>
  <c r="CA18" i="1"/>
  <c r="CB18" i="1"/>
  <c r="BW18" i="1"/>
  <c r="CE18" i="1"/>
  <c r="CD18" i="1"/>
  <c r="BU18" i="1"/>
  <c r="BV18" i="1"/>
  <c r="CC18" i="1"/>
  <c r="BN18" i="1"/>
  <c r="BK18" i="1"/>
  <c r="BM18" i="1"/>
  <c r="BR18" i="1"/>
  <c r="BS18" i="1"/>
  <c r="BJ18" i="1"/>
  <c r="BP18" i="1"/>
  <c r="BL18" i="1"/>
  <c r="BQ18" i="1"/>
  <c r="BI18" i="1"/>
  <c r="BH18" i="1"/>
  <c r="BO18" i="1"/>
  <c r="J48" i="2"/>
  <c r="D58" i="2"/>
  <c r="J58" i="2" s="1"/>
  <c r="BB21" i="1"/>
  <c r="BC21" i="1"/>
  <c r="AV21" i="1"/>
  <c r="BD21" i="1"/>
  <c r="AW21" i="1"/>
  <c r="BE21" i="1"/>
  <c r="AY21" i="1"/>
  <c r="AU21" i="1"/>
  <c r="AX21" i="1"/>
  <c r="BF21" i="1"/>
  <c r="AZ21" i="1"/>
  <c r="BA21" i="1"/>
  <c r="Y26" i="1"/>
  <c r="X25" i="1"/>
  <c r="BH52" i="1"/>
  <c r="X33" i="1"/>
  <c r="Y34" i="1"/>
  <c r="BK27" i="1"/>
  <c r="BL27" i="1" s="1"/>
  <c r="BM27" i="1" s="1"/>
  <c r="BN27" i="1" s="1"/>
  <c r="BO27" i="1" s="1"/>
  <c r="BP27" i="1" s="1"/>
  <c r="BQ27" i="1" s="1"/>
  <c r="BR27" i="1" s="1"/>
  <c r="BS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AO31" i="1"/>
  <c r="AA46" i="1"/>
  <c r="AB47" i="1"/>
  <c r="AB39" i="1"/>
  <c r="AA38" i="1"/>
  <c r="AA30" i="1"/>
  <c r="AB32" i="1"/>
  <c r="C1" i="11"/>
  <c r="J38" i="1"/>
  <c r="K38" i="1"/>
  <c r="L38" i="1"/>
  <c r="M38" i="1"/>
  <c r="O38" i="1"/>
  <c r="P38" i="1"/>
  <c r="Q38" i="1"/>
  <c r="R38" i="1"/>
  <c r="S38" i="1"/>
  <c r="I44" i="1"/>
  <c r="I38" i="1" s="1"/>
  <c r="N22" i="1"/>
  <c r="O22" i="1"/>
  <c r="P22" i="1"/>
  <c r="Q22" i="1"/>
  <c r="R22" i="1"/>
  <c r="S22" i="1"/>
  <c r="D8" i="3"/>
  <c r="D9" i="3"/>
  <c r="D6" i="3"/>
  <c r="F6" i="3" s="1"/>
  <c r="I30" i="1"/>
  <c r="J30" i="1"/>
  <c r="K30" i="1"/>
  <c r="L30" i="1"/>
  <c r="M30" i="1"/>
  <c r="N30" i="1"/>
  <c r="O30" i="1"/>
  <c r="P30" i="1"/>
  <c r="Q30" i="1"/>
  <c r="R30" i="1"/>
  <c r="S30" i="1"/>
  <c r="I64" i="1"/>
  <c r="I63" i="1" s="1"/>
  <c r="I61" i="1" s="1"/>
  <c r="J64" i="1"/>
  <c r="J63" i="1" s="1"/>
  <c r="J61" i="1" s="1"/>
  <c r="K64" i="1"/>
  <c r="K63" i="1" s="1"/>
  <c r="K61" i="1" s="1"/>
  <c r="L64" i="1"/>
  <c r="L63" i="1" s="1"/>
  <c r="L61" i="1" s="1"/>
  <c r="M64" i="1"/>
  <c r="M63" i="1" s="1"/>
  <c r="M61" i="1" s="1"/>
  <c r="N64" i="1"/>
  <c r="N63" i="1" s="1"/>
  <c r="N61" i="1" s="1"/>
  <c r="O64" i="1"/>
  <c r="O63" i="1" s="1"/>
  <c r="O61" i="1" s="1"/>
  <c r="P64" i="1"/>
  <c r="P63" i="1" s="1"/>
  <c r="P61" i="1" s="1"/>
  <c r="Q64" i="1"/>
  <c r="Q63" i="1" s="1"/>
  <c r="Q61" i="1" s="1"/>
  <c r="R64" i="1"/>
  <c r="R63" i="1" s="1"/>
  <c r="R61" i="1" s="1"/>
  <c r="S64" i="1"/>
  <c r="S63" i="1" s="1"/>
  <c r="S61" i="1" s="1"/>
  <c r="I70" i="1"/>
  <c r="J70" i="1"/>
  <c r="K70" i="1"/>
  <c r="L70" i="1"/>
  <c r="M70" i="1"/>
  <c r="N70" i="1"/>
  <c r="O70" i="1"/>
  <c r="P70" i="1"/>
  <c r="Q70" i="1"/>
  <c r="R70" i="1"/>
  <c r="S70" i="1"/>
  <c r="I67" i="1"/>
  <c r="J67" i="1"/>
  <c r="K67" i="1"/>
  <c r="L67" i="1"/>
  <c r="M67" i="1"/>
  <c r="N67" i="1"/>
  <c r="O67" i="1"/>
  <c r="P67" i="1"/>
  <c r="Q67" i="1"/>
  <c r="R67" i="1"/>
  <c r="S67" i="1"/>
  <c r="I59" i="1"/>
  <c r="J59" i="1"/>
  <c r="K59" i="1"/>
  <c r="L59" i="1"/>
  <c r="M59" i="1"/>
  <c r="N59" i="1"/>
  <c r="O59" i="1"/>
  <c r="P59" i="1"/>
  <c r="Q59" i="1"/>
  <c r="R59" i="1"/>
  <c r="S59" i="1"/>
  <c r="I56" i="1"/>
  <c r="R56" i="1"/>
  <c r="I54" i="1"/>
  <c r="J54" i="1"/>
  <c r="K54" i="1"/>
  <c r="L54" i="1"/>
  <c r="M54" i="1"/>
  <c r="N54" i="1"/>
  <c r="O54" i="1"/>
  <c r="P54" i="1"/>
  <c r="Q54" i="1"/>
  <c r="R54" i="1"/>
  <c r="S54" i="1"/>
  <c r="I46" i="1"/>
  <c r="J46" i="1"/>
  <c r="K46" i="1"/>
  <c r="L46" i="1"/>
  <c r="M46" i="1"/>
  <c r="N46" i="1"/>
  <c r="O46" i="1"/>
  <c r="P46" i="1"/>
  <c r="Q46" i="1"/>
  <c r="R46" i="1"/>
  <c r="S46" i="1"/>
  <c r="N38" i="1"/>
  <c r="I33" i="1"/>
  <c r="K33" i="1"/>
  <c r="L33" i="1"/>
  <c r="M33" i="1"/>
  <c r="N33" i="1"/>
  <c r="O33" i="1"/>
  <c r="P33" i="1"/>
  <c r="Q33" i="1"/>
  <c r="R33" i="1"/>
  <c r="S33" i="1"/>
  <c r="I25" i="1"/>
  <c r="J25" i="1"/>
  <c r="K25" i="1"/>
  <c r="L25" i="1"/>
  <c r="M25" i="1"/>
  <c r="N25" i="1"/>
  <c r="O25" i="1"/>
  <c r="P25" i="1"/>
  <c r="Q25" i="1"/>
  <c r="R25" i="1"/>
  <c r="S25" i="1"/>
  <c r="H6" i="2"/>
  <c r="I6" i="2" s="1"/>
  <c r="J6" i="2" s="1"/>
  <c r="H7" i="2"/>
  <c r="I7" i="2" s="1"/>
  <c r="J7" i="2" s="1"/>
  <c r="H4" i="2"/>
  <c r="H3" i="2"/>
  <c r="I3" i="2" s="1"/>
  <c r="J3" i="2" s="1"/>
  <c r="B5" i="3"/>
  <c r="DA79" i="1" l="1"/>
  <c r="DA77" i="1" s="1"/>
  <c r="DA53" i="1" s="1"/>
  <c r="DB2" i="1"/>
  <c r="CY40" i="1"/>
  <c r="CX38" i="1"/>
  <c r="CK28" i="1"/>
  <c r="CJ25" i="1"/>
  <c r="CS58" i="1"/>
  <c r="CS56" i="1" s="1"/>
  <c r="CR56" i="1"/>
  <c r="BD56" i="1"/>
  <c r="AR56" i="1"/>
  <c r="CN79" i="1"/>
  <c r="CN77" i="1" s="1"/>
  <c r="CN53" i="1" s="1"/>
  <c r="CO2" i="1"/>
  <c r="CN51" i="1"/>
  <c r="F9" i="3"/>
  <c r="D12" i="3"/>
  <c r="O16" i="1"/>
  <c r="G16" i="1"/>
  <c r="I16" i="1"/>
  <c r="F16" i="1"/>
  <c r="H16" i="1"/>
  <c r="F8" i="3"/>
  <c r="F29" i="3"/>
  <c r="F2" i="3" s="1"/>
  <c r="J18" i="1"/>
  <c r="E18" i="1"/>
  <c r="F18" i="1"/>
  <c r="H18" i="1"/>
  <c r="G18" i="1"/>
  <c r="BZ21" i="1"/>
  <c r="CA21" i="1"/>
  <c r="CB21" i="1"/>
  <c r="CC21" i="1"/>
  <c r="BW21" i="1"/>
  <c r="CE21" i="1"/>
  <c r="BU21" i="1"/>
  <c r="BV21" i="1"/>
  <c r="CD21" i="1"/>
  <c r="BX21" i="1"/>
  <c r="CF21" i="1"/>
  <c r="BY21" i="1"/>
  <c r="BJ21" i="1"/>
  <c r="BR21" i="1"/>
  <c r="BK21" i="1"/>
  <c r="BS21" i="1"/>
  <c r="BL21" i="1"/>
  <c r="BM21" i="1"/>
  <c r="BH21" i="1"/>
  <c r="BO21" i="1"/>
  <c r="BN21" i="1"/>
  <c r="BP21" i="1"/>
  <c r="BI21" i="1"/>
  <c r="BQ21" i="1"/>
  <c r="G7" i="3"/>
  <c r="D24" i="3" s="1"/>
  <c r="V12" i="1"/>
  <c r="V11" i="1" s="1"/>
  <c r="L12" i="1"/>
  <c r="L11" i="1" s="1"/>
  <c r="AD12" i="1"/>
  <c r="AD11" i="1" s="1"/>
  <c r="AE12" i="1"/>
  <c r="AE11" i="1" s="1"/>
  <c r="X12" i="1"/>
  <c r="X11" i="1" s="1"/>
  <c r="U12" i="1"/>
  <c r="U11" i="1" s="1"/>
  <c r="Z12" i="1"/>
  <c r="Z11" i="1" s="1"/>
  <c r="AA12" i="1"/>
  <c r="AA11" i="1" s="1"/>
  <c r="AB12" i="1"/>
  <c r="AB11" i="1" s="1"/>
  <c r="AC12" i="1"/>
  <c r="AC11" i="1" s="1"/>
  <c r="Z26" i="1"/>
  <c r="Y25" i="1"/>
  <c r="Z34" i="1"/>
  <c r="Y33" i="1"/>
  <c r="BI52" i="1"/>
  <c r="AP31" i="1"/>
  <c r="AB46" i="1"/>
  <c r="AC47" i="1"/>
  <c r="AB38" i="1"/>
  <c r="AC39" i="1"/>
  <c r="AB30" i="1"/>
  <c r="AC32" i="1"/>
  <c r="Q12" i="1"/>
  <c r="Q11" i="1" s="1"/>
  <c r="M12" i="1"/>
  <c r="M11" i="1" s="1"/>
  <c r="K12" i="1"/>
  <c r="K11" i="1" s="1"/>
  <c r="J12" i="1"/>
  <c r="J11" i="1" s="1"/>
  <c r="O12" i="1"/>
  <c r="O11" i="1" s="1"/>
  <c r="I12" i="1"/>
  <c r="I11" i="1" s="1"/>
  <c r="G6" i="3"/>
  <c r="S16" i="1"/>
  <c r="K16" i="1"/>
  <c r="R16" i="1"/>
  <c r="J16" i="1"/>
  <c r="M16" i="1"/>
  <c r="Q16" i="1"/>
  <c r="L16" i="1"/>
  <c r="P16" i="1"/>
  <c r="N16" i="1"/>
  <c r="Q18" i="1"/>
  <c r="P18" i="1"/>
  <c r="N18" i="1"/>
  <c r="I18" i="1"/>
  <c r="M18" i="1"/>
  <c r="L18" i="1"/>
  <c r="S18" i="1"/>
  <c r="K18" i="1"/>
  <c r="O18" i="1"/>
  <c r="R18" i="1"/>
  <c r="J17" i="1"/>
  <c r="K17" i="1"/>
  <c r="L17" i="1"/>
  <c r="M17" i="1"/>
  <c r="R17" i="1"/>
  <c r="S17" i="1"/>
  <c r="N17" i="1"/>
  <c r="O17" i="1"/>
  <c r="Q17" i="1"/>
  <c r="P17" i="1"/>
  <c r="DB79" i="1" l="1"/>
  <c r="DB77" i="1" s="1"/>
  <c r="DB53" i="1" s="1"/>
  <c r="DC2" i="1"/>
  <c r="CZ40" i="1"/>
  <c r="CY38" i="1"/>
  <c r="CL28" i="1"/>
  <c r="CK25" i="1"/>
  <c r="CO51" i="1"/>
  <c r="CO79" i="1"/>
  <c r="CO77" i="1" s="1"/>
  <c r="CO53" i="1" s="1"/>
  <c r="CP2" i="1"/>
  <c r="G9" i="3"/>
  <c r="F12" i="3"/>
  <c r="G8" i="3"/>
  <c r="I80" i="1"/>
  <c r="D29" i="3"/>
  <c r="H7" i="3" s="1"/>
  <c r="F30" i="3"/>
  <c r="D80" i="1"/>
  <c r="D53" i="1" s="1"/>
  <c r="P12" i="1"/>
  <c r="P11" i="1" s="1"/>
  <c r="Y12" i="1"/>
  <c r="Y11" i="1" s="1"/>
  <c r="W12" i="1"/>
  <c r="W11" i="1" s="1"/>
  <c r="S12" i="1"/>
  <c r="S11" i="1" s="1"/>
  <c r="N12" i="1"/>
  <c r="N11" i="1" s="1"/>
  <c r="R12" i="1"/>
  <c r="R11" i="1" s="1"/>
  <c r="H12" i="1"/>
  <c r="H11" i="1" s="1"/>
  <c r="AF12" i="1"/>
  <c r="AP12" i="1" s="1"/>
  <c r="AP11" i="1" s="1"/>
  <c r="Z33" i="1"/>
  <c r="AA34" i="1"/>
  <c r="BJ52" i="1"/>
  <c r="AA26" i="1"/>
  <c r="Z25" i="1"/>
  <c r="AQ31" i="1"/>
  <c r="AC46" i="1"/>
  <c r="AD47" i="1"/>
  <c r="AC38" i="1"/>
  <c r="AD39" i="1"/>
  <c r="AC30" i="1"/>
  <c r="AD32" i="1"/>
  <c r="DC79" i="1" l="1"/>
  <c r="DC77" i="1" s="1"/>
  <c r="DC53" i="1" s="1"/>
  <c r="DD2" i="1"/>
  <c r="E24" i="3"/>
  <c r="E29" i="3" s="1"/>
  <c r="G12" i="3"/>
  <c r="DA40" i="1"/>
  <c r="CZ38" i="1"/>
  <c r="CM28" i="1"/>
  <c r="CL25" i="1"/>
  <c r="CP79" i="1"/>
  <c r="CP77" i="1" s="1"/>
  <c r="CP53" i="1" s="1"/>
  <c r="CQ2" i="1"/>
  <c r="CP51" i="1"/>
  <c r="I14" i="1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S80" i="1"/>
  <c r="Q80" i="1"/>
  <c r="O80" i="1"/>
  <c r="U80" i="1"/>
  <c r="P80" i="1"/>
  <c r="J80" i="1"/>
  <c r="D30" i="3"/>
  <c r="AH80" i="1"/>
  <c r="AA80" i="1"/>
  <c r="Z80" i="1"/>
  <c r="AF80" i="1"/>
  <c r="AE80" i="1"/>
  <c r="AD80" i="1"/>
  <c r="AI80" i="1"/>
  <c r="M80" i="1"/>
  <c r="L80" i="1"/>
  <c r="N80" i="1"/>
  <c r="K80" i="1"/>
  <c r="V80" i="1"/>
  <c r="V53" i="1" s="1"/>
  <c r="Y80" i="1"/>
  <c r="X80" i="1"/>
  <c r="W80" i="1"/>
  <c r="AC80" i="1"/>
  <c r="AB80" i="1"/>
  <c r="R80" i="1"/>
  <c r="AL12" i="1"/>
  <c r="AL11" i="1" s="1"/>
  <c r="AN12" i="1"/>
  <c r="AN11" i="1" s="1"/>
  <c r="AO12" i="1"/>
  <c r="AO11" i="1" s="1"/>
  <c r="AR12" i="1"/>
  <c r="AR11" i="1" s="1"/>
  <c r="AQ12" i="1"/>
  <c r="AQ11" i="1" s="1"/>
  <c r="AS12" i="1"/>
  <c r="AS11" i="1" s="1"/>
  <c r="AI12" i="1"/>
  <c r="AI11" i="1" s="1"/>
  <c r="AH12" i="1"/>
  <c r="AH11" i="1" s="1"/>
  <c r="AM12" i="1"/>
  <c r="AM11" i="1" s="1"/>
  <c r="AF11" i="1"/>
  <c r="AK12" i="1"/>
  <c r="AK11" i="1" s="1"/>
  <c r="AJ12" i="1"/>
  <c r="AJ11" i="1" s="1"/>
  <c r="F5" i="2"/>
  <c r="H5" i="2" s="1"/>
  <c r="I5" i="2" s="1"/>
  <c r="J5" i="2" s="1"/>
  <c r="N79" i="1"/>
  <c r="N77" i="1" s="1"/>
  <c r="S79" i="1"/>
  <c r="S77" i="1" s="1"/>
  <c r="K79" i="1"/>
  <c r="K77" i="1" s="1"/>
  <c r="O79" i="1"/>
  <c r="O77" i="1" s="1"/>
  <c r="Q79" i="1"/>
  <c r="Q77" i="1" s="1"/>
  <c r="P79" i="1"/>
  <c r="P77" i="1" s="1"/>
  <c r="M79" i="1"/>
  <c r="M77" i="1" s="1"/>
  <c r="L79" i="1"/>
  <c r="L77" i="1" s="1"/>
  <c r="J79" i="1"/>
  <c r="J77" i="1" s="1"/>
  <c r="R79" i="1"/>
  <c r="R77" i="1" s="1"/>
  <c r="AA79" i="1"/>
  <c r="AA77" i="1" s="1"/>
  <c r="U79" i="1"/>
  <c r="U77" i="1" s="1"/>
  <c r="W79" i="1"/>
  <c r="W77" i="1" s="1"/>
  <c r="AB79" i="1"/>
  <c r="AB77" i="1" s="1"/>
  <c r="AB53" i="1" s="1"/>
  <c r="F15" i="2"/>
  <c r="H15" i="2" s="1"/>
  <c r="I15" i="2" s="1"/>
  <c r="X79" i="1"/>
  <c r="X77" i="1" s="1"/>
  <c r="Z79" i="1"/>
  <c r="Z77" i="1" s="1"/>
  <c r="Z53" i="1" s="1"/>
  <c r="AE79" i="1"/>
  <c r="AE77" i="1" s="1"/>
  <c r="AD79" i="1"/>
  <c r="AD77" i="1" s="1"/>
  <c r="AF79" i="1"/>
  <c r="AF77" i="1" s="1"/>
  <c r="AF53" i="1" s="1"/>
  <c r="Y79" i="1"/>
  <c r="Y77" i="1" s="1"/>
  <c r="Y53" i="1" s="1"/>
  <c r="AC79" i="1"/>
  <c r="AC77" i="1" s="1"/>
  <c r="AC53" i="1" s="1"/>
  <c r="AA25" i="1"/>
  <c r="AB26" i="1"/>
  <c r="BK52" i="1"/>
  <c r="AB34" i="1"/>
  <c r="AA33" i="1"/>
  <c r="AR31" i="1"/>
  <c r="AE47" i="1"/>
  <c r="AD46" i="1"/>
  <c r="AE39" i="1"/>
  <c r="AD38" i="1"/>
  <c r="AD30" i="1"/>
  <c r="I4" i="2"/>
  <c r="J4" i="2" s="1"/>
  <c r="I77" i="1"/>
  <c r="I53" i="1" s="1"/>
  <c r="DD79" i="1" l="1"/>
  <c r="DD77" i="1" s="1"/>
  <c r="DD53" i="1" s="1"/>
  <c r="DE2" i="1"/>
  <c r="E30" i="3"/>
  <c r="H8" i="3"/>
  <c r="H12" i="3" s="1"/>
  <c r="DB40" i="1"/>
  <c r="DA38" i="1"/>
  <c r="CN28" i="1"/>
  <c r="CM25" i="1"/>
  <c r="CQ79" i="1"/>
  <c r="CQ77" i="1" s="1"/>
  <c r="CQ53" i="1" s="1"/>
  <c r="CR2" i="1"/>
  <c r="CQ51" i="1"/>
  <c r="K20" i="1"/>
  <c r="G20" i="1"/>
  <c r="I20" i="1"/>
  <c r="F20" i="1"/>
  <c r="H20" i="1"/>
  <c r="R53" i="1"/>
  <c r="Q53" i="1"/>
  <c r="N53" i="1"/>
  <c r="U53" i="1"/>
  <c r="L53" i="1"/>
  <c r="J53" i="1"/>
  <c r="K53" i="1"/>
  <c r="AE53" i="1"/>
  <c r="W53" i="1"/>
  <c r="M53" i="1"/>
  <c r="AD53" i="1"/>
  <c r="X53" i="1"/>
  <c r="AA53" i="1"/>
  <c r="P53" i="1"/>
  <c r="O53" i="1"/>
  <c r="S53" i="1"/>
  <c r="BF12" i="1"/>
  <c r="BI12" i="1" s="1"/>
  <c r="BI11" i="1" s="1"/>
  <c r="AZ12" i="1"/>
  <c r="AZ11" i="1" s="1"/>
  <c r="BB12" i="1"/>
  <c r="BB11" i="1" s="1"/>
  <c r="D19" i="1"/>
  <c r="D15" i="1" s="1"/>
  <c r="D10" i="1" s="1"/>
  <c r="E19" i="1"/>
  <c r="E15" i="1" s="1"/>
  <c r="E10" i="1" s="1"/>
  <c r="E8" i="1" s="1"/>
  <c r="E5" i="1" s="1"/>
  <c r="F19" i="1"/>
  <c r="G19" i="1"/>
  <c r="H19" i="1"/>
  <c r="H15" i="1" s="1"/>
  <c r="AU12" i="1"/>
  <c r="AU11" i="1" s="1"/>
  <c r="AX12" i="1"/>
  <c r="AX11" i="1" s="1"/>
  <c r="BA12" i="1"/>
  <c r="BA11" i="1" s="1"/>
  <c r="BE12" i="1"/>
  <c r="BE11" i="1" s="1"/>
  <c r="AV12" i="1"/>
  <c r="AV11" i="1" s="1"/>
  <c r="AY12" i="1"/>
  <c r="AY11" i="1" s="1"/>
  <c r="BF11" i="1"/>
  <c r="BC12" i="1"/>
  <c r="BC11" i="1" s="1"/>
  <c r="BD12" i="1"/>
  <c r="BD11" i="1" s="1"/>
  <c r="AW12" i="1"/>
  <c r="AW11" i="1" s="1"/>
  <c r="J15" i="2"/>
  <c r="I19" i="2"/>
  <c r="F25" i="2"/>
  <c r="H25" i="2" s="1"/>
  <c r="I25" i="2" s="1"/>
  <c r="AS79" i="1"/>
  <c r="AS77" i="1" s="1"/>
  <c r="AS53" i="1" s="1"/>
  <c r="AJ79" i="1"/>
  <c r="AJ77" i="1" s="1"/>
  <c r="AJ53" i="1" s="1"/>
  <c r="AI79" i="1"/>
  <c r="AI77" i="1" s="1"/>
  <c r="AI53" i="1" s="1"/>
  <c r="AQ79" i="1"/>
  <c r="AQ77" i="1" s="1"/>
  <c r="AQ53" i="1" s="1"/>
  <c r="AH79" i="1"/>
  <c r="AH77" i="1" s="1"/>
  <c r="AH53" i="1" s="1"/>
  <c r="AN79" i="1"/>
  <c r="AN77" i="1" s="1"/>
  <c r="AN53" i="1" s="1"/>
  <c r="AM79" i="1"/>
  <c r="AM77" i="1" s="1"/>
  <c r="AM53" i="1" s="1"/>
  <c r="AL79" i="1"/>
  <c r="AL77" i="1" s="1"/>
  <c r="AL53" i="1" s="1"/>
  <c r="AO79" i="1"/>
  <c r="AO77" i="1" s="1"/>
  <c r="AO53" i="1" s="1"/>
  <c r="AP79" i="1"/>
  <c r="AP77" i="1" s="1"/>
  <c r="AP53" i="1" s="1"/>
  <c r="AR79" i="1"/>
  <c r="AR77" i="1" s="1"/>
  <c r="AR53" i="1" s="1"/>
  <c r="AK79" i="1"/>
  <c r="AK77" i="1" s="1"/>
  <c r="AK53" i="1" s="1"/>
  <c r="AB50" i="1"/>
  <c r="AA50" i="1"/>
  <c r="U50" i="1"/>
  <c r="X50" i="1"/>
  <c r="AE50" i="1"/>
  <c r="V50" i="1"/>
  <c r="W50" i="1"/>
  <c r="AF50" i="1"/>
  <c r="AD50" i="1"/>
  <c r="Y50" i="1"/>
  <c r="AC50" i="1"/>
  <c r="Z50" i="1"/>
  <c r="P50" i="1"/>
  <c r="Q50" i="1"/>
  <c r="M50" i="1"/>
  <c r="R50" i="1"/>
  <c r="N50" i="1"/>
  <c r="K50" i="1"/>
  <c r="S50" i="1"/>
  <c r="L50" i="1"/>
  <c r="J50" i="1"/>
  <c r="O50" i="1"/>
  <c r="BL52" i="1"/>
  <c r="AB33" i="1"/>
  <c r="AC34" i="1"/>
  <c r="AB25" i="1"/>
  <c r="AC26" i="1"/>
  <c r="AS31" i="1"/>
  <c r="AF47" i="1"/>
  <c r="AE46" i="1"/>
  <c r="AF39" i="1"/>
  <c r="AE38" i="1"/>
  <c r="AF32" i="1"/>
  <c r="AE30" i="1"/>
  <c r="J9" i="2"/>
  <c r="K19" i="1"/>
  <c r="S19" i="1"/>
  <c r="M19" i="1"/>
  <c r="N19" i="1"/>
  <c r="R19" i="1"/>
  <c r="L19" i="1"/>
  <c r="O19" i="1"/>
  <c r="Q19" i="1"/>
  <c r="J19" i="1"/>
  <c r="P19" i="1"/>
  <c r="I19" i="1"/>
  <c r="AG2" i="1"/>
  <c r="Q20" i="1"/>
  <c r="P20" i="1"/>
  <c r="L20" i="1"/>
  <c r="O20" i="1"/>
  <c r="R20" i="1"/>
  <c r="N20" i="1"/>
  <c r="M20" i="1"/>
  <c r="M15" i="1" s="1"/>
  <c r="J20" i="1"/>
  <c r="I9" i="2"/>
  <c r="S20" i="1"/>
  <c r="DE79" i="1" l="1"/>
  <c r="DE77" i="1" s="1"/>
  <c r="DE53" i="1" s="1"/>
  <c r="DF2" i="1"/>
  <c r="DF79" i="1" s="1"/>
  <c r="DF77" i="1" s="1"/>
  <c r="DF53" i="1" s="1"/>
  <c r="DC40" i="1"/>
  <c r="DB38" i="1"/>
  <c r="CO28" i="1"/>
  <c r="CN25" i="1"/>
  <c r="CR51" i="1"/>
  <c r="CR79" i="1"/>
  <c r="CR77" i="1" s="1"/>
  <c r="CR53" i="1" s="1"/>
  <c r="CS2" i="1"/>
  <c r="CS79" i="1" s="1"/>
  <c r="CS77" i="1" s="1"/>
  <c r="CS53" i="1" s="1"/>
  <c r="G15" i="1"/>
  <c r="H10" i="1"/>
  <c r="G10" i="1"/>
  <c r="F15" i="1"/>
  <c r="F10" i="1" s="1"/>
  <c r="K15" i="1"/>
  <c r="D8" i="1"/>
  <c r="J15" i="1"/>
  <c r="BK12" i="1"/>
  <c r="BK11" i="1" s="1"/>
  <c r="BP12" i="1"/>
  <c r="BP11" i="1" s="1"/>
  <c r="BM12" i="1"/>
  <c r="BM11" i="1" s="1"/>
  <c r="BH12" i="1"/>
  <c r="BH11" i="1" s="1"/>
  <c r="BR12" i="1"/>
  <c r="BR11" i="1" s="1"/>
  <c r="BQ12" i="1"/>
  <c r="BQ11" i="1" s="1"/>
  <c r="BN12" i="1"/>
  <c r="BN11" i="1" s="1"/>
  <c r="BL12" i="1"/>
  <c r="BL11" i="1" s="1"/>
  <c r="BO12" i="1"/>
  <c r="BO11" i="1" s="1"/>
  <c r="BJ12" i="1"/>
  <c r="BJ11" i="1" s="1"/>
  <c r="BS12" i="1"/>
  <c r="K10" i="1"/>
  <c r="J25" i="2"/>
  <c r="J29" i="2" s="1"/>
  <c r="I29" i="2"/>
  <c r="BA79" i="1"/>
  <c r="BA77" i="1" s="1"/>
  <c r="BA53" i="1" s="1"/>
  <c r="AY79" i="1"/>
  <c r="AY77" i="1" s="1"/>
  <c r="AY53" i="1" s="1"/>
  <c r="BD79" i="1"/>
  <c r="BD77" i="1" s="1"/>
  <c r="BD53" i="1" s="1"/>
  <c r="AW79" i="1"/>
  <c r="AW77" i="1" s="1"/>
  <c r="AW53" i="1" s="1"/>
  <c r="BC79" i="1"/>
  <c r="BC77" i="1" s="1"/>
  <c r="BC53" i="1" s="1"/>
  <c r="AU79" i="1"/>
  <c r="AU77" i="1" s="1"/>
  <c r="AU53" i="1" s="1"/>
  <c r="AV79" i="1"/>
  <c r="AV77" i="1" s="1"/>
  <c r="AV53" i="1" s="1"/>
  <c r="F35" i="2"/>
  <c r="H35" i="2" s="1"/>
  <c r="I35" i="2" s="1"/>
  <c r="BB79" i="1"/>
  <c r="BB77" i="1" s="1"/>
  <c r="BB53" i="1" s="1"/>
  <c r="BE79" i="1"/>
  <c r="BE77" i="1" s="1"/>
  <c r="BE53" i="1" s="1"/>
  <c r="BF79" i="1"/>
  <c r="BF77" i="1" s="1"/>
  <c r="BF53" i="1" s="1"/>
  <c r="I15" i="1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S50" i="1" s="1"/>
  <c r="AX79" i="1"/>
  <c r="AX77" i="1" s="1"/>
  <c r="AX53" i="1" s="1"/>
  <c r="AZ79" i="1"/>
  <c r="AZ77" i="1" s="1"/>
  <c r="AZ53" i="1" s="1"/>
  <c r="V20" i="1"/>
  <c r="V15" i="1" s="1"/>
  <c r="AB20" i="1"/>
  <c r="AB15" i="1" s="1"/>
  <c r="AF20" i="1"/>
  <c r="AF15" i="1" s="1"/>
  <c r="AA20" i="1"/>
  <c r="AA15" i="1" s="1"/>
  <c r="AE20" i="1"/>
  <c r="AE15" i="1" s="1"/>
  <c r="Z20" i="1"/>
  <c r="Z15" i="1" s="1"/>
  <c r="AC20" i="1"/>
  <c r="AC15" i="1" s="1"/>
  <c r="J19" i="2"/>
  <c r="W20" i="1"/>
  <c r="W15" i="1" s="1"/>
  <c r="X20" i="1"/>
  <c r="X15" i="1" s="1"/>
  <c r="AD20" i="1"/>
  <c r="AD15" i="1" s="1"/>
  <c r="U20" i="1"/>
  <c r="U15" i="1" s="1"/>
  <c r="Y20" i="1"/>
  <c r="Y15" i="1" s="1"/>
  <c r="AT2" i="1"/>
  <c r="AC25" i="1"/>
  <c r="AD26" i="1"/>
  <c r="AF38" i="1"/>
  <c r="AH39" i="1"/>
  <c r="AF46" i="1"/>
  <c r="AH47" i="1"/>
  <c r="AC33" i="1"/>
  <c r="AD34" i="1"/>
  <c r="AE34" i="1" s="1"/>
  <c r="AF30" i="1"/>
  <c r="AH32" i="1"/>
  <c r="BM52" i="1"/>
  <c r="AU31" i="1"/>
  <c r="N15" i="1"/>
  <c r="N10" i="1" s="1"/>
  <c r="N8" i="1" s="1"/>
  <c r="S15" i="1"/>
  <c r="S10" i="1" s="1"/>
  <c r="P15" i="1"/>
  <c r="P10" i="1" s="1"/>
  <c r="P8" i="1" s="1"/>
  <c r="M10" i="1"/>
  <c r="Q15" i="1"/>
  <c r="Q10" i="1" s="1"/>
  <c r="Q8" i="1" s="1"/>
  <c r="L15" i="1"/>
  <c r="R15" i="1"/>
  <c r="R10" i="1" s="1"/>
  <c r="R8" i="1" s="1"/>
  <c r="O15" i="1"/>
  <c r="O10" i="1" s="1"/>
  <c r="O8" i="1" s="1"/>
  <c r="I15" i="1"/>
  <c r="F8" i="1" l="1"/>
  <c r="R5" i="1"/>
  <c r="R6" i="1" s="1"/>
  <c r="Q5" i="1"/>
  <c r="Q6" i="1" s="1"/>
  <c r="P5" i="1"/>
  <c r="P6" i="1" s="1"/>
  <c r="O5" i="1"/>
  <c r="O6" i="1" s="1"/>
  <c r="N5" i="1"/>
  <c r="N6" i="1" s="1"/>
  <c r="F5" i="1"/>
  <c r="F6" i="1" s="1"/>
  <c r="DD40" i="1"/>
  <c r="DC38" i="1"/>
  <c r="BX12" i="1"/>
  <c r="BX11" i="1" s="1"/>
  <c r="CF12" i="1"/>
  <c r="BU12" i="1"/>
  <c r="CP28" i="1"/>
  <c r="CO25" i="1"/>
  <c r="AP50" i="1"/>
  <c r="AO50" i="1"/>
  <c r="AL50" i="1"/>
  <c r="AM50" i="1"/>
  <c r="AK50" i="1"/>
  <c r="AJ50" i="1"/>
  <c r="S8" i="1"/>
  <c r="S5" i="1" s="1"/>
  <c r="S6" i="1" s="1"/>
  <c r="AQ50" i="1"/>
  <c r="AR50" i="1"/>
  <c r="AI50" i="1"/>
  <c r="AH50" i="1"/>
  <c r="AN50" i="1"/>
  <c r="CS51" i="1"/>
  <c r="K8" i="1"/>
  <c r="J10" i="1"/>
  <c r="L10" i="1"/>
  <c r="M8" i="1"/>
  <c r="I10" i="1"/>
  <c r="H8" i="1"/>
  <c r="G8" i="1"/>
  <c r="Y10" i="1"/>
  <c r="W10" i="1"/>
  <c r="V10" i="1"/>
  <c r="V8" i="1" s="1"/>
  <c r="U10" i="1"/>
  <c r="X10" i="1"/>
  <c r="Z10" i="1"/>
  <c r="AA10" i="1"/>
  <c r="AB10" i="1"/>
  <c r="CD12" i="1"/>
  <c r="CD11" i="1" s="1"/>
  <c r="CA12" i="1"/>
  <c r="CA11" i="1" s="1"/>
  <c r="BZ12" i="1"/>
  <c r="BZ11" i="1" s="1"/>
  <c r="CE12" i="1"/>
  <c r="CE11" i="1" s="1"/>
  <c r="CC12" i="1"/>
  <c r="CC11" i="1" s="1"/>
  <c r="BY12" i="1"/>
  <c r="BY11" i="1" s="1"/>
  <c r="BS11" i="1"/>
  <c r="BW12" i="1"/>
  <c r="BW11" i="1" s="1"/>
  <c r="BV12" i="1"/>
  <c r="BV11" i="1" s="1"/>
  <c r="CB12" i="1"/>
  <c r="CB11" i="1" s="1"/>
  <c r="BU11" i="1"/>
  <c r="J35" i="2"/>
  <c r="I39" i="2"/>
  <c r="I16" i="1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F50" i="1" s="1"/>
  <c r="BI79" i="1"/>
  <c r="BI77" i="1" s="1"/>
  <c r="BI53" i="1" s="1"/>
  <c r="BR79" i="1"/>
  <c r="BR77" i="1" s="1"/>
  <c r="BR53" i="1" s="1"/>
  <c r="BK79" i="1"/>
  <c r="BK77" i="1" s="1"/>
  <c r="BK53" i="1" s="1"/>
  <c r="BO79" i="1"/>
  <c r="BO77" i="1" s="1"/>
  <c r="BO53" i="1" s="1"/>
  <c r="BM79" i="1"/>
  <c r="BM77" i="1" s="1"/>
  <c r="BM53" i="1" s="1"/>
  <c r="BN79" i="1"/>
  <c r="BN77" i="1" s="1"/>
  <c r="BN53" i="1" s="1"/>
  <c r="F45" i="2"/>
  <c r="H45" i="2" s="1"/>
  <c r="I45" i="2" s="1"/>
  <c r="BQ79" i="1"/>
  <c r="BQ77" i="1" s="1"/>
  <c r="BQ53" i="1" s="1"/>
  <c r="BH79" i="1"/>
  <c r="BH77" i="1" s="1"/>
  <c r="BH53" i="1" s="1"/>
  <c r="BP79" i="1"/>
  <c r="BP77" i="1" s="1"/>
  <c r="BP53" i="1" s="1"/>
  <c r="BS79" i="1"/>
  <c r="BS77" i="1" s="1"/>
  <c r="BS53" i="1" s="1"/>
  <c r="BL79" i="1"/>
  <c r="BL77" i="1" s="1"/>
  <c r="BL53" i="1" s="1"/>
  <c r="BJ79" i="1"/>
  <c r="BJ77" i="1" s="1"/>
  <c r="BJ53" i="1" s="1"/>
  <c r="BG2" i="1"/>
  <c r="CD79" i="1"/>
  <c r="BW79" i="1"/>
  <c r="F55" i="2"/>
  <c r="H55" i="2" s="1"/>
  <c r="I55" i="2" s="1"/>
  <c r="CB79" i="1"/>
  <c r="CE79" i="1"/>
  <c r="BZ79" i="1"/>
  <c r="CA79" i="1"/>
  <c r="CC79" i="1"/>
  <c r="BY79" i="1"/>
  <c r="BV79" i="1"/>
  <c r="BX79" i="1"/>
  <c r="BU79" i="1"/>
  <c r="AJ20" i="1"/>
  <c r="AJ15" i="1" s="1"/>
  <c r="AK20" i="1"/>
  <c r="AK15" i="1" s="1"/>
  <c r="AS20" i="1"/>
  <c r="AS15" i="1" s="1"/>
  <c r="AN20" i="1"/>
  <c r="AN15" i="1" s="1"/>
  <c r="AL20" i="1"/>
  <c r="AL15" i="1" s="1"/>
  <c r="AR20" i="1"/>
  <c r="AR15" i="1" s="1"/>
  <c r="AO20" i="1"/>
  <c r="AO15" i="1" s="1"/>
  <c r="AM20" i="1"/>
  <c r="AM15" i="1" s="1"/>
  <c r="AH20" i="1"/>
  <c r="AH15" i="1" s="1"/>
  <c r="AP20" i="1"/>
  <c r="AP15" i="1" s="1"/>
  <c r="AI20" i="1"/>
  <c r="AI15" i="1" s="1"/>
  <c r="AQ20" i="1"/>
  <c r="AQ15" i="1" s="1"/>
  <c r="AI47" i="1"/>
  <c r="AH46" i="1"/>
  <c r="AI32" i="1"/>
  <c r="AH30" i="1"/>
  <c r="BN52" i="1"/>
  <c r="AI39" i="1"/>
  <c r="AH38" i="1"/>
  <c r="AE26" i="1"/>
  <c r="AD25" i="1"/>
  <c r="AV31" i="1"/>
  <c r="AD33" i="1"/>
  <c r="AC10" i="1"/>
  <c r="D8" i="27" l="1"/>
  <c r="V5" i="1"/>
  <c r="V6" i="1" s="1"/>
  <c r="DE40" i="1"/>
  <c r="DD38" i="1"/>
  <c r="CQ28" i="1"/>
  <c r="CP25" i="1"/>
  <c r="CF11" i="1"/>
  <c r="CH12" i="1"/>
  <c r="BC50" i="1"/>
  <c r="BA50" i="1"/>
  <c r="AU50" i="1"/>
  <c r="BE50" i="1"/>
  <c r="AV50" i="1"/>
  <c r="BD50" i="1"/>
  <c r="AW50" i="1"/>
  <c r="AZ50" i="1"/>
  <c r="AY50" i="1"/>
  <c r="AX50" i="1"/>
  <c r="BB50" i="1"/>
  <c r="BU77" i="1"/>
  <c r="CF77" i="1"/>
  <c r="CF53" i="1" s="1"/>
  <c r="CA77" i="1"/>
  <c r="CE77" i="1"/>
  <c r="CD77" i="1"/>
  <c r="BV77" i="1"/>
  <c r="BX77" i="1"/>
  <c r="BY77" i="1"/>
  <c r="CC77" i="1"/>
  <c r="BZ77" i="1"/>
  <c r="CB77" i="1"/>
  <c r="BW77" i="1"/>
  <c r="M5" i="1"/>
  <c r="L8" i="1"/>
  <c r="J8" i="1"/>
  <c r="K5" i="1"/>
  <c r="I8" i="1"/>
  <c r="H5" i="1"/>
  <c r="G5" i="1"/>
  <c r="AC8" i="1"/>
  <c r="AB8" i="1"/>
  <c r="AA8" i="1"/>
  <c r="Z8" i="1"/>
  <c r="X8" i="1"/>
  <c r="U8" i="1"/>
  <c r="W8" i="1"/>
  <c r="Y8" i="1"/>
  <c r="BI50" i="1"/>
  <c r="BH50" i="1"/>
  <c r="BM50" i="1"/>
  <c r="BJ50" i="1"/>
  <c r="BN50" i="1"/>
  <c r="BL50" i="1"/>
  <c r="J55" i="2"/>
  <c r="I59" i="2"/>
  <c r="BK50" i="1"/>
  <c r="J45" i="2"/>
  <c r="I49" i="2"/>
  <c r="BT2" i="1"/>
  <c r="CG2" i="1" s="1"/>
  <c r="CT2" i="1" s="1"/>
  <c r="DG2" i="1" s="1"/>
  <c r="BE20" i="1"/>
  <c r="BE15" i="1" s="1"/>
  <c r="AU20" i="1"/>
  <c r="AU15" i="1" s="1"/>
  <c r="J39" i="2"/>
  <c r="AZ20" i="1"/>
  <c r="AZ15" i="1" s="1"/>
  <c r="BA20" i="1"/>
  <c r="BA15" i="1" s="1"/>
  <c r="AX20" i="1"/>
  <c r="AX15" i="1" s="1"/>
  <c r="BD20" i="1"/>
  <c r="BD15" i="1" s="1"/>
  <c r="BC20" i="1"/>
  <c r="BC15" i="1" s="1"/>
  <c r="BB20" i="1"/>
  <c r="BB15" i="1" s="1"/>
  <c r="BF20" i="1"/>
  <c r="BF15" i="1" s="1"/>
  <c r="AV20" i="1"/>
  <c r="AV15" i="1" s="1"/>
  <c r="AW20" i="1"/>
  <c r="AW15" i="1" s="1"/>
  <c r="AY20" i="1"/>
  <c r="AY15" i="1" s="1"/>
  <c r="BO52" i="1"/>
  <c r="AJ39" i="1"/>
  <c r="AI38" i="1"/>
  <c r="AF34" i="1"/>
  <c r="AE33" i="1"/>
  <c r="AD10" i="1"/>
  <c r="AJ32" i="1"/>
  <c r="AI30" i="1"/>
  <c r="AE25" i="1"/>
  <c r="AF26" i="1"/>
  <c r="AI46" i="1"/>
  <c r="AJ47" i="1"/>
  <c r="W5" i="1" l="1"/>
  <c r="W6" i="1" s="1"/>
  <c r="DF40" i="1"/>
  <c r="DF38" i="1" s="1"/>
  <c r="DE38" i="1"/>
  <c r="CR28" i="1"/>
  <c r="CQ25" i="1"/>
  <c r="CH11" i="1"/>
  <c r="CI12" i="1"/>
  <c r="BW53" i="1"/>
  <c r="CB53" i="1"/>
  <c r="BZ53" i="1"/>
  <c r="CC53" i="1"/>
  <c r="BY53" i="1"/>
  <c r="BX53" i="1"/>
  <c r="BV53" i="1"/>
  <c r="CD53" i="1"/>
  <c r="CE53" i="1"/>
  <c r="CA53" i="1"/>
  <c r="BU53" i="1"/>
  <c r="J5" i="1"/>
  <c r="K6" i="1"/>
  <c r="L5" i="1"/>
  <c r="M6" i="1"/>
  <c r="I5" i="1"/>
  <c r="H6" i="1"/>
  <c r="G6" i="1"/>
  <c r="AD8" i="1"/>
  <c r="Y5" i="1"/>
  <c r="U5" i="1"/>
  <c r="X5" i="1"/>
  <c r="Z5" i="1"/>
  <c r="AA5" i="1"/>
  <c r="AB5" i="1"/>
  <c r="AC5" i="1"/>
  <c r="BI20" i="1"/>
  <c r="BI15" i="1" s="1"/>
  <c r="BL20" i="1"/>
  <c r="BL15" i="1" s="1"/>
  <c r="BK20" i="1"/>
  <c r="BK15" i="1" s="1"/>
  <c r="BQ20" i="1"/>
  <c r="BQ15" i="1" s="1"/>
  <c r="BN20" i="1"/>
  <c r="BN15" i="1" s="1"/>
  <c r="BO20" i="1"/>
  <c r="BO15" i="1" s="1"/>
  <c r="BM20" i="1"/>
  <c r="BM15" i="1" s="1"/>
  <c r="BJ20" i="1"/>
  <c r="BJ15" i="1" s="1"/>
  <c r="J49" i="2"/>
  <c r="BR20" i="1"/>
  <c r="BR15" i="1" s="1"/>
  <c r="BH20" i="1"/>
  <c r="BH15" i="1" s="1"/>
  <c r="BP20" i="1"/>
  <c r="BP15" i="1" s="1"/>
  <c r="BS20" i="1"/>
  <c r="BS15" i="1" s="1"/>
  <c r="BZ20" i="1"/>
  <c r="BZ15" i="1" s="1"/>
  <c r="BY20" i="1"/>
  <c r="BY15" i="1" s="1"/>
  <c r="CA20" i="1"/>
  <c r="CA15" i="1" s="1"/>
  <c r="BV20" i="1"/>
  <c r="BV15" i="1" s="1"/>
  <c r="BX20" i="1"/>
  <c r="BX15" i="1" s="1"/>
  <c r="CB20" i="1"/>
  <c r="CB15" i="1" s="1"/>
  <c r="CF20" i="1"/>
  <c r="CF15" i="1" s="1"/>
  <c r="CD20" i="1"/>
  <c r="CD15" i="1" s="1"/>
  <c r="BW20" i="1"/>
  <c r="BW15" i="1" s="1"/>
  <c r="J59" i="2"/>
  <c r="BU20" i="1"/>
  <c r="BU15" i="1" s="1"/>
  <c r="CC20" i="1"/>
  <c r="CC15" i="1" s="1"/>
  <c r="CE20" i="1"/>
  <c r="CE15" i="1" s="1"/>
  <c r="AK32" i="1"/>
  <c r="AJ30" i="1"/>
  <c r="AF33" i="1"/>
  <c r="AH34" i="1"/>
  <c r="AK39" i="1"/>
  <c r="AJ38" i="1"/>
  <c r="AK47" i="1"/>
  <c r="AJ46" i="1"/>
  <c r="AF25" i="1"/>
  <c r="AE10" i="1"/>
  <c r="BP52" i="1"/>
  <c r="BO50" i="1"/>
  <c r="CJ12" i="1" l="1"/>
  <c r="CI11" i="1"/>
  <c r="CS28" i="1"/>
  <c r="CR25" i="1"/>
  <c r="T5" i="1"/>
  <c r="L6" i="1"/>
  <c r="J6" i="1"/>
  <c r="I6" i="1"/>
  <c r="AE8" i="1"/>
  <c r="AC6" i="1"/>
  <c r="AB6" i="1"/>
  <c r="AA6" i="1"/>
  <c r="Z6" i="1"/>
  <c r="X6" i="1"/>
  <c r="U6" i="1"/>
  <c r="Y6" i="1"/>
  <c r="AD5" i="1"/>
  <c r="AF10" i="1"/>
  <c r="AL47" i="1"/>
  <c r="AK46" i="1"/>
  <c r="BQ52" i="1"/>
  <c r="BP50" i="1"/>
  <c r="AI34" i="1"/>
  <c r="AH33" i="1"/>
  <c r="AK38" i="1"/>
  <c r="AL39" i="1"/>
  <c r="AI26" i="1"/>
  <c r="AH25" i="1"/>
  <c r="AL32" i="1"/>
  <c r="AK30" i="1"/>
  <c r="CU28" i="1" l="1"/>
  <c r="CS25" i="1"/>
  <c r="CJ11" i="1"/>
  <c r="CK12" i="1"/>
  <c r="AF8" i="1"/>
  <c r="AD6" i="1"/>
  <c r="AE5" i="1"/>
  <c r="AM32" i="1"/>
  <c r="AL30" i="1"/>
  <c r="BR52" i="1"/>
  <c r="BQ50" i="1"/>
  <c r="AL38" i="1"/>
  <c r="AM39" i="1"/>
  <c r="AM47" i="1"/>
  <c r="AL46" i="1"/>
  <c r="AI33" i="1"/>
  <c r="AJ34" i="1"/>
  <c r="AH10" i="1"/>
  <c r="AJ26" i="1"/>
  <c r="AI25" i="1"/>
  <c r="CL12" i="1" l="1"/>
  <c r="CK11" i="1"/>
  <c r="CV28" i="1"/>
  <c r="CU25" i="1"/>
  <c r="AH8" i="1"/>
  <c r="AE6" i="1"/>
  <c r="AF5" i="1"/>
  <c r="AG5" i="1" s="1"/>
  <c r="AI10" i="1"/>
  <c r="AM46" i="1"/>
  <c r="AN47" i="1"/>
  <c r="AM38" i="1"/>
  <c r="AN39" i="1"/>
  <c r="AK34" i="1"/>
  <c r="AJ33" i="1"/>
  <c r="AK26" i="1"/>
  <c r="AJ25" i="1"/>
  <c r="BS52" i="1"/>
  <c r="BU52" i="1" s="1"/>
  <c r="BR50" i="1"/>
  <c r="AN32" i="1"/>
  <c r="AM30" i="1"/>
  <c r="CW28" i="1" l="1"/>
  <c r="CV25" i="1"/>
  <c r="CL11" i="1"/>
  <c r="CM12" i="1"/>
  <c r="AI8" i="1"/>
  <c r="AH5" i="1"/>
  <c r="AF6" i="1"/>
  <c r="AJ10" i="1"/>
  <c r="AO39" i="1"/>
  <c r="AN38" i="1"/>
  <c r="AK33" i="1"/>
  <c r="AL34" i="1"/>
  <c r="AO47" i="1"/>
  <c r="AN46" i="1"/>
  <c r="AL26" i="1"/>
  <c r="AK25" i="1"/>
  <c r="AO32" i="1"/>
  <c r="AN30" i="1"/>
  <c r="BS50" i="1"/>
  <c r="CN12" i="1" l="1"/>
  <c r="CM11" i="1"/>
  <c r="CX28" i="1"/>
  <c r="CW25" i="1"/>
  <c r="AJ8" i="1"/>
  <c r="AH6" i="1"/>
  <c r="AI5" i="1"/>
  <c r="AO46" i="1"/>
  <c r="AP47" i="1"/>
  <c r="AM34" i="1"/>
  <c r="AL33" i="1"/>
  <c r="AP32" i="1"/>
  <c r="AO30" i="1"/>
  <c r="AO38" i="1"/>
  <c r="AP39" i="1"/>
  <c r="BV52" i="1"/>
  <c r="BU50" i="1"/>
  <c r="AK10" i="1"/>
  <c r="AM26" i="1"/>
  <c r="AL25" i="1"/>
  <c r="CY28" i="1" l="1"/>
  <c r="CX25" i="1"/>
  <c r="CN11" i="1"/>
  <c r="CO12" i="1"/>
  <c r="AK8" i="1"/>
  <c r="AI6" i="1"/>
  <c r="AJ5" i="1"/>
  <c r="AL10" i="1"/>
  <c r="AQ39" i="1"/>
  <c r="AP38" i="1"/>
  <c r="AQ32" i="1"/>
  <c r="AP30" i="1"/>
  <c r="AN26" i="1"/>
  <c r="AM25" i="1"/>
  <c r="AN34" i="1"/>
  <c r="AM33" i="1"/>
  <c r="AQ47" i="1"/>
  <c r="AP46" i="1"/>
  <c r="BW52" i="1"/>
  <c r="BV50" i="1"/>
  <c r="CP12" i="1" l="1"/>
  <c r="CO11" i="1"/>
  <c r="CZ28" i="1"/>
  <c r="CY25" i="1"/>
  <c r="AL8" i="1"/>
  <c r="AJ6" i="1"/>
  <c r="AK5" i="1"/>
  <c r="BX52" i="1"/>
  <c r="BW50" i="1"/>
  <c r="AR47" i="1"/>
  <c r="AQ46" i="1"/>
  <c r="AR32" i="1"/>
  <c r="AQ30" i="1"/>
  <c r="AM10" i="1"/>
  <c r="AO26" i="1"/>
  <c r="AN25" i="1"/>
  <c r="AN33" i="1"/>
  <c r="AO34" i="1"/>
  <c r="AQ38" i="1"/>
  <c r="AR39" i="1"/>
  <c r="DA28" i="1" l="1"/>
  <c r="CZ25" i="1"/>
  <c r="CP11" i="1"/>
  <c r="CQ12" i="1"/>
  <c r="AM8" i="1"/>
  <c r="AK6" i="1"/>
  <c r="AL5" i="1"/>
  <c r="AN10" i="1"/>
  <c r="AR38" i="1"/>
  <c r="AS39" i="1"/>
  <c r="AP34" i="1"/>
  <c r="AO33" i="1"/>
  <c r="AP26" i="1"/>
  <c r="AO25" i="1"/>
  <c r="AS32" i="1"/>
  <c r="AR30" i="1"/>
  <c r="AR46" i="1"/>
  <c r="AS47" i="1"/>
  <c r="BX50" i="1"/>
  <c r="BY52" i="1"/>
  <c r="CR12" i="1" l="1"/>
  <c r="CQ11" i="1"/>
  <c r="DB28" i="1"/>
  <c r="DA25" i="1"/>
  <c r="AN8" i="1"/>
  <c r="AL6" i="1"/>
  <c r="AM5" i="1"/>
  <c r="AQ26" i="1"/>
  <c r="AP25" i="1"/>
  <c r="BY50" i="1"/>
  <c r="BZ52" i="1"/>
  <c r="AP33" i="1"/>
  <c r="AQ34" i="1"/>
  <c r="AO10" i="1"/>
  <c r="AS46" i="1"/>
  <c r="AU47" i="1"/>
  <c r="AS38" i="1"/>
  <c r="AU39" i="1"/>
  <c r="AU32" i="1"/>
  <c r="AS30" i="1"/>
  <c r="DC28" i="1" l="1"/>
  <c r="DB25" i="1"/>
  <c r="CR11" i="1"/>
  <c r="CS12" i="1"/>
  <c r="AO8" i="1"/>
  <c r="AM6" i="1"/>
  <c r="AN5" i="1"/>
  <c r="AP10" i="1"/>
  <c r="AU38" i="1"/>
  <c r="AV39" i="1"/>
  <c r="CA52" i="1"/>
  <c r="BZ50" i="1"/>
  <c r="AQ33" i="1"/>
  <c r="AR34" i="1"/>
  <c r="AV32" i="1"/>
  <c r="AU30" i="1"/>
  <c r="AU46" i="1"/>
  <c r="AV47" i="1"/>
  <c r="AR26" i="1"/>
  <c r="AQ25" i="1"/>
  <c r="CU12" i="1" l="1"/>
  <c r="CS11" i="1"/>
  <c r="DD28" i="1"/>
  <c r="DC25" i="1"/>
  <c r="AP8" i="1"/>
  <c r="AN6" i="1"/>
  <c r="AO5" i="1"/>
  <c r="AQ10" i="1"/>
  <c r="AS34" i="1"/>
  <c r="AR33" i="1"/>
  <c r="AV46" i="1"/>
  <c r="AW47" i="1"/>
  <c r="AS26" i="1"/>
  <c r="AR25" i="1"/>
  <c r="CA50" i="1"/>
  <c r="CB52" i="1"/>
  <c r="AV38" i="1"/>
  <c r="AW39" i="1"/>
  <c r="AW32" i="1"/>
  <c r="AV30" i="1"/>
  <c r="DE28" i="1" l="1"/>
  <c r="DD25" i="1"/>
  <c r="CV12" i="1"/>
  <c r="CU11" i="1"/>
  <c r="AQ8" i="1"/>
  <c r="AO6" i="1"/>
  <c r="AP5" i="1"/>
  <c r="CC52" i="1"/>
  <c r="CB50" i="1"/>
  <c r="AS25" i="1"/>
  <c r="AX47" i="1"/>
  <c r="AW46" i="1"/>
  <c r="AX32" i="1"/>
  <c r="AW30" i="1"/>
  <c r="AX39" i="1"/>
  <c r="AW38" i="1"/>
  <c r="AR10" i="1"/>
  <c r="AS33" i="1"/>
  <c r="AU34" i="1"/>
  <c r="CW12" i="1" l="1"/>
  <c r="CV11" i="1"/>
  <c r="DF28" i="1"/>
  <c r="DF25" i="1" s="1"/>
  <c r="DE25" i="1"/>
  <c r="AP6" i="1"/>
  <c r="AQ5" i="1"/>
  <c r="AR8" i="1"/>
  <c r="AS10" i="1"/>
  <c r="AY32" i="1"/>
  <c r="AX30" i="1"/>
  <c r="AV34" i="1"/>
  <c r="AU33" i="1"/>
  <c r="AX46" i="1"/>
  <c r="AY47" i="1"/>
  <c r="AV26" i="1"/>
  <c r="AU25" i="1"/>
  <c r="AX38" i="1"/>
  <c r="AY39" i="1"/>
  <c r="CC50" i="1"/>
  <c r="CD52" i="1"/>
  <c r="CW11" i="1" l="1"/>
  <c r="CX12" i="1"/>
  <c r="AS8" i="1"/>
  <c r="AR5" i="1"/>
  <c r="AQ6" i="1"/>
  <c r="AY46" i="1"/>
  <c r="AZ47" i="1"/>
  <c r="AZ39" i="1"/>
  <c r="AY38" i="1"/>
  <c r="AY30" i="1"/>
  <c r="AZ32" i="1"/>
  <c r="CD50" i="1"/>
  <c r="CE52" i="1"/>
  <c r="AW34" i="1"/>
  <c r="AV33" i="1"/>
  <c r="AU10" i="1"/>
  <c r="AW26" i="1"/>
  <c r="AV25" i="1"/>
  <c r="CY12" i="1" l="1"/>
  <c r="CX11" i="1"/>
  <c r="AU8" i="1"/>
  <c r="AR6" i="1"/>
  <c r="AS5" i="1"/>
  <c r="AX34" i="1"/>
  <c r="AW33" i="1"/>
  <c r="CF52" i="1"/>
  <c r="CH52" i="1" s="1"/>
  <c r="CE50" i="1"/>
  <c r="AX26" i="1"/>
  <c r="AW25" i="1"/>
  <c r="AZ30" i="1"/>
  <c r="BA32" i="1"/>
  <c r="AV10" i="1"/>
  <c r="BA39" i="1"/>
  <c r="AZ38" i="1"/>
  <c r="AZ46" i="1"/>
  <c r="BA47" i="1"/>
  <c r="CF50" i="1" l="1"/>
  <c r="CY11" i="1"/>
  <c r="CZ12" i="1"/>
  <c r="AV8" i="1"/>
  <c r="AU5" i="1"/>
  <c r="AS6" i="1"/>
  <c r="AT5" i="1"/>
  <c r="AW10" i="1"/>
  <c r="BB32" i="1"/>
  <c r="BA30" i="1"/>
  <c r="BB39" i="1"/>
  <c r="BA38" i="1"/>
  <c r="BB47" i="1"/>
  <c r="BA46" i="1"/>
  <c r="AX25" i="1"/>
  <c r="AY26" i="1"/>
  <c r="AY34" i="1"/>
  <c r="AX33" i="1"/>
  <c r="DA12" i="1" l="1"/>
  <c r="CZ11" i="1"/>
  <c r="CI52" i="1"/>
  <c r="CH50" i="1"/>
  <c r="AW8" i="1"/>
  <c r="AU6" i="1"/>
  <c r="AV5" i="1"/>
  <c r="AX10" i="1"/>
  <c r="BC39" i="1"/>
  <c r="BB38" i="1"/>
  <c r="AZ34" i="1"/>
  <c r="AY33" i="1"/>
  <c r="BB46" i="1"/>
  <c r="BC47" i="1"/>
  <c r="AZ26" i="1"/>
  <c r="AY25" i="1"/>
  <c r="BB30" i="1"/>
  <c r="BC32" i="1"/>
  <c r="CJ52" i="1" l="1"/>
  <c r="CI50" i="1"/>
  <c r="DA11" i="1"/>
  <c r="DB12" i="1"/>
  <c r="AX8" i="1"/>
  <c r="AV6" i="1"/>
  <c r="AW5" i="1"/>
  <c r="BD47" i="1"/>
  <c r="BC46" i="1"/>
  <c r="BD32" i="1"/>
  <c r="BC30" i="1"/>
  <c r="AY10" i="1"/>
  <c r="AZ33" i="1"/>
  <c r="BA34" i="1"/>
  <c r="BA26" i="1"/>
  <c r="AZ25" i="1"/>
  <c r="BC38" i="1"/>
  <c r="BD39" i="1"/>
  <c r="CK52" i="1" l="1"/>
  <c r="CJ50" i="1"/>
  <c r="DC12" i="1"/>
  <c r="DB11" i="1"/>
  <c r="AY8" i="1"/>
  <c r="AW6" i="1"/>
  <c r="AX5" i="1"/>
  <c r="BE39" i="1"/>
  <c r="BD38" i="1"/>
  <c r="BE32" i="1"/>
  <c r="BD30" i="1"/>
  <c r="BB34" i="1"/>
  <c r="BA33" i="1"/>
  <c r="AZ10" i="1"/>
  <c r="BB26" i="1"/>
  <c r="BA25" i="1"/>
  <c r="BE47" i="1"/>
  <c r="BD46" i="1"/>
  <c r="DC11" i="1" l="1"/>
  <c r="DD12" i="1"/>
  <c r="CL52" i="1"/>
  <c r="CK50" i="1"/>
  <c r="AX6" i="1"/>
  <c r="AY5" i="1"/>
  <c r="AZ8" i="1"/>
  <c r="BA10" i="1"/>
  <c r="BE38" i="1"/>
  <c r="BF39" i="1"/>
  <c r="BF47" i="1"/>
  <c r="BE46" i="1"/>
  <c r="BC34" i="1"/>
  <c r="BB33" i="1"/>
  <c r="BF32" i="1"/>
  <c r="BE30" i="1"/>
  <c r="BC26" i="1"/>
  <c r="BB25" i="1"/>
  <c r="CM52" i="1" l="1"/>
  <c r="CL50" i="1"/>
  <c r="DE12" i="1"/>
  <c r="DD11" i="1"/>
  <c r="BA8" i="1"/>
  <c r="AZ5" i="1"/>
  <c r="AY6" i="1"/>
  <c r="BC33" i="1"/>
  <c r="BD34" i="1"/>
  <c r="BF46" i="1"/>
  <c r="BH47" i="1"/>
  <c r="BD26" i="1"/>
  <c r="BC25" i="1"/>
  <c r="BF38" i="1"/>
  <c r="BH39" i="1"/>
  <c r="BB10" i="1"/>
  <c r="BF30" i="1"/>
  <c r="BH32" i="1"/>
  <c r="DE11" i="1" l="1"/>
  <c r="DF12" i="1"/>
  <c r="DF11" i="1" s="1"/>
  <c r="CN52" i="1"/>
  <c r="CM50" i="1"/>
  <c r="BB8" i="1"/>
  <c r="AZ6" i="1"/>
  <c r="BA5" i="1"/>
  <c r="BC10" i="1"/>
  <c r="BI32" i="1"/>
  <c r="BH30" i="1"/>
  <c r="BE26" i="1"/>
  <c r="BF26" i="1" s="1"/>
  <c r="BD25" i="1"/>
  <c r="BH46" i="1"/>
  <c r="BI47" i="1"/>
  <c r="BE34" i="1"/>
  <c r="BD33" i="1"/>
  <c r="BH38" i="1"/>
  <c r="BI39" i="1"/>
  <c r="CO52" i="1" l="1"/>
  <c r="CN50" i="1"/>
  <c r="BC8" i="1"/>
  <c r="BA6" i="1"/>
  <c r="BB5" i="1"/>
  <c r="BF34" i="1"/>
  <c r="BE33" i="1"/>
  <c r="BI46" i="1"/>
  <c r="BJ47" i="1"/>
  <c r="BD10" i="1"/>
  <c r="BE25" i="1"/>
  <c r="BI38" i="1"/>
  <c r="BJ39" i="1"/>
  <c r="BJ32" i="1"/>
  <c r="BI30" i="1"/>
  <c r="CP52" i="1" l="1"/>
  <c r="CO50" i="1"/>
  <c r="BD8" i="1"/>
  <c r="BB6" i="1"/>
  <c r="BC5" i="1"/>
  <c r="BE10" i="1"/>
  <c r="BF25" i="1"/>
  <c r="BK47" i="1"/>
  <c r="BJ46" i="1"/>
  <c r="BK32" i="1"/>
  <c r="BJ30" i="1"/>
  <c r="BK39" i="1"/>
  <c r="BJ38" i="1"/>
  <c r="BF33" i="1"/>
  <c r="BH34" i="1"/>
  <c r="CQ52" i="1" l="1"/>
  <c r="CP50" i="1"/>
  <c r="BE8" i="1"/>
  <c r="BC6" i="1"/>
  <c r="BD5" i="1"/>
  <c r="BL32" i="1"/>
  <c r="BK30" i="1"/>
  <c r="BL47" i="1"/>
  <c r="BK46" i="1"/>
  <c r="BI26" i="1"/>
  <c r="BH25" i="1"/>
  <c r="BK38" i="1"/>
  <c r="BL39" i="1"/>
  <c r="BI34" i="1"/>
  <c r="BH33" i="1"/>
  <c r="BF10" i="1"/>
  <c r="CR52" i="1" l="1"/>
  <c r="CQ50" i="1"/>
  <c r="BF8" i="1"/>
  <c r="BD6" i="1"/>
  <c r="BE5" i="1"/>
  <c r="BL46" i="1"/>
  <c r="BM47" i="1"/>
  <c r="BL38" i="1"/>
  <c r="BM39" i="1"/>
  <c r="BJ26" i="1"/>
  <c r="BI25" i="1"/>
  <c r="BH10" i="1"/>
  <c r="BJ34" i="1"/>
  <c r="BI33" i="1"/>
  <c r="BL30" i="1"/>
  <c r="BM32" i="1"/>
  <c r="CS52" i="1" l="1"/>
  <c r="CR50" i="1"/>
  <c r="BH8" i="1"/>
  <c r="BE6" i="1"/>
  <c r="BF5" i="1"/>
  <c r="BG5" i="1" s="1"/>
  <c r="BK26" i="1"/>
  <c r="BJ25" i="1"/>
  <c r="BM30" i="1"/>
  <c r="BN32" i="1"/>
  <c r="BN47" i="1"/>
  <c r="BM46" i="1"/>
  <c r="BK34" i="1"/>
  <c r="BJ33" i="1"/>
  <c r="BN39" i="1"/>
  <c r="BM38" i="1"/>
  <c r="BI10" i="1"/>
  <c r="CS50" i="1" l="1"/>
  <c r="CU52" i="1"/>
  <c r="BI8" i="1"/>
  <c r="BH5" i="1"/>
  <c r="BF6" i="1"/>
  <c r="BO32" i="1"/>
  <c r="BN30" i="1"/>
  <c r="BL34" i="1"/>
  <c r="BK33" i="1"/>
  <c r="BO47" i="1"/>
  <c r="BN46" i="1"/>
  <c r="BJ10" i="1"/>
  <c r="BO39" i="1"/>
  <c r="BN38" i="1"/>
  <c r="BK25" i="1"/>
  <c r="BL26" i="1"/>
  <c r="CV52" i="1" l="1"/>
  <c r="CU50" i="1"/>
  <c r="BJ8" i="1"/>
  <c r="BH6" i="1"/>
  <c r="BI5" i="1"/>
  <c r="BM26" i="1"/>
  <c r="BL25" i="1"/>
  <c r="BP47" i="1"/>
  <c r="BO46" i="1"/>
  <c r="BK10" i="1"/>
  <c r="BL33" i="1"/>
  <c r="BM34" i="1"/>
  <c r="BO38" i="1"/>
  <c r="BP39" i="1"/>
  <c r="BO30" i="1"/>
  <c r="BP32" i="1"/>
  <c r="CW52" i="1" l="1"/>
  <c r="CV50" i="1"/>
  <c r="BK8" i="1"/>
  <c r="BI6" i="1"/>
  <c r="BJ5" i="1"/>
  <c r="BQ47" i="1"/>
  <c r="BP46" i="1"/>
  <c r="BM33" i="1"/>
  <c r="BN34" i="1"/>
  <c r="BM25" i="1"/>
  <c r="BN26" i="1"/>
  <c r="BP30" i="1"/>
  <c r="BQ32" i="1"/>
  <c r="BL10" i="1"/>
  <c r="BP38" i="1"/>
  <c r="BQ39" i="1"/>
  <c r="CX52" i="1" l="1"/>
  <c r="CW50" i="1"/>
  <c r="BM10" i="1"/>
  <c r="BJ6" i="1"/>
  <c r="BK5" i="1"/>
  <c r="BL8" i="1"/>
  <c r="BM8" i="1"/>
  <c r="BR32" i="1"/>
  <c r="BQ30" i="1"/>
  <c r="BO26" i="1"/>
  <c r="BN25" i="1"/>
  <c r="BN33" i="1"/>
  <c r="BO34" i="1"/>
  <c r="BR39" i="1"/>
  <c r="BQ38" i="1"/>
  <c r="BR47" i="1"/>
  <c r="BQ46" i="1"/>
  <c r="CY52" i="1" l="1"/>
  <c r="CX50" i="1"/>
  <c r="BM5" i="1"/>
  <c r="BL5" i="1"/>
  <c r="BK6" i="1"/>
  <c r="BR38" i="1"/>
  <c r="BS39" i="1"/>
  <c r="BN10" i="1"/>
  <c r="BO25" i="1"/>
  <c r="BP26" i="1"/>
  <c r="BR46" i="1"/>
  <c r="BS47" i="1"/>
  <c r="BP34" i="1"/>
  <c r="BO33" i="1"/>
  <c r="BS32" i="1"/>
  <c r="BU32" i="1" s="1"/>
  <c r="BR30" i="1"/>
  <c r="CZ52" i="1" l="1"/>
  <c r="CY50" i="1"/>
  <c r="BN8" i="1"/>
  <c r="BL6" i="1"/>
  <c r="BM6" i="1"/>
  <c r="BS46" i="1"/>
  <c r="BU47" i="1"/>
  <c r="BQ26" i="1"/>
  <c r="BP25" i="1"/>
  <c r="BQ34" i="1"/>
  <c r="BP33" i="1"/>
  <c r="BO10" i="1"/>
  <c r="BS30" i="1"/>
  <c r="BS38" i="1"/>
  <c r="BU39" i="1"/>
  <c r="DA52" i="1" l="1"/>
  <c r="CZ50" i="1"/>
  <c r="BN5" i="1"/>
  <c r="BO8" i="1"/>
  <c r="BP10" i="1"/>
  <c r="BR34" i="1"/>
  <c r="BQ33" i="1"/>
  <c r="BU38" i="1"/>
  <c r="BV39" i="1"/>
  <c r="BQ25" i="1"/>
  <c r="BR26" i="1"/>
  <c r="BU46" i="1"/>
  <c r="BV47" i="1"/>
  <c r="BV32" i="1"/>
  <c r="BU30" i="1"/>
  <c r="DB52" i="1" l="1"/>
  <c r="DA50" i="1"/>
  <c r="BP8" i="1"/>
  <c r="BO5" i="1"/>
  <c r="BN6" i="1"/>
  <c r="BQ10" i="1"/>
  <c r="BV46" i="1"/>
  <c r="BW47" i="1"/>
  <c r="BV38" i="1"/>
  <c r="BW39" i="1"/>
  <c r="BS26" i="1"/>
  <c r="BR25" i="1"/>
  <c r="BW32" i="1"/>
  <c r="BV30" i="1"/>
  <c r="BS34" i="1"/>
  <c r="BR33" i="1"/>
  <c r="DC52" i="1" l="1"/>
  <c r="DB50" i="1"/>
  <c r="BQ8" i="1"/>
  <c r="BO6" i="1"/>
  <c r="BP5" i="1"/>
  <c r="BR10" i="1"/>
  <c r="BX32" i="1"/>
  <c r="BW30" i="1"/>
  <c r="BS25" i="1"/>
  <c r="BX39" i="1"/>
  <c r="BW38" i="1"/>
  <c r="BX47" i="1"/>
  <c r="BW46" i="1"/>
  <c r="BS33" i="1"/>
  <c r="BU34" i="1"/>
  <c r="DD52" i="1" l="1"/>
  <c r="DC50" i="1"/>
  <c r="BR8" i="1"/>
  <c r="BP6" i="1"/>
  <c r="BQ5" i="1"/>
  <c r="BS10" i="1"/>
  <c r="BY47" i="1"/>
  <c r="BX46" i="1"/>
  <c r="BV26" i="1"/>
  <c r="BU25" i="1"/>
  <c r="BY39" i="1"/>
  <c r="BX38" i="1"/>
  <c r="BV34" i="1"/>
  <c r="BU33" i="1"/>
  <c r="BX30" i="1"/>
  <c r="BY32" i="1"/>
  <c r="DE52" i="1" l="1"/>
  <c r="DD50" i="1"/>
  <c r="BS8" i="1"/>
  <c r="BQ6" i="1"/>
  <c r="BR5" i="1"/>
  <c r="BU10" i="1"/>
  <c r="BU8" i="1" s="1"/>
  <c r="BW34" i="1"/>
  <c r="BV33" i="1"/>
  <c r="BZ39" i="1"/>
  <c r="BY38" i="1"/>
  <c r="BV25" i="1"/>
  <c r="BW26" i="1"/>
  <c r="BY30" i="1"/>
  <c r="BZ32" i="1"/>
  <c r="BZ47" i="1"/>
  <c r="BY46" i="1"/>
  <c r="DF52" i="1" l="1"/>
  <c r="DF50" i="1" s="1"/>
  <c r="DE50" i="1"/>
  <c r="BU5" i="1"/>
  <c r="BU6" i="1" s="1"/>
  <c r="BR6" i="1"/>
  <c r="BS5" i="1"/>
  <c r="BV10" i="1"/>
  <c r="BV8" i="1" s="1"/>
  <c r="BZ38" i="1"/>
  <c r="CA39" i="1"/>
  <c r="CA32" i="1"/>
  <c r="BZ30" i="1"/>
  <c r="BX34" i="1"/>
  <c r="BW33" i="1"/>
  <c r="BX26" i="1"/>
  <c r="BW25" i="1"/>
  <c r="CA47" i="1"/>
  <c r="BZ46" i="1"/>
  <c r="BV5" i="1" l="1"/>
  <c r="BV6" i="1" s="1"/>
  <c r="BS6" i="1"/>
  <c r="BT5" i="1"/>
  <c r="BW10" i="1"/>
  <c r="BW8" i="1" s="1"/>
  <c r="BY34" i="1"/>
  <c r="BX33" i="1"/>
  <c r="BY26" i="1"/>
  <c r="BX25" i="1"/>
  <c r="CB32" i="1"/>
  <c r="CA30" i="1"/>
  <c r="CA46" i="1"/>
  <c r="CB47" i="1"/>
  <c r="CA38" i="1"/>
  <c r="CB39" i="1"/>
  <c r="BW5" i="1" l="1"/>
  <c r="BW6" i="1" s="1"/>
  <c r="BX10" i="1"/>
  <c r="BX8" i="1" s="1"/>
  <c r="CB30" i="1"/>
  <c r="CC32" i="1"/>
  <c r="BZ26" i="1"/>
  <c r="BY25" i="1"/>
  <c r="CB38" i="1"/>
  <c r="CC39" i="1"/>
  <c r="BY33" i="1"/>
  <c r="BZ34" i="1"/>
  <c r="CC47" i="1"/>
  <c r="CB46" i="1"/>
  <c r="BX5" i="1" l="1"/>
  <c r="BX6" i="1" s="1"/>
  <c r="BY10" i="1"/>
  <c r="BY8" i="1" s="1"/>
  <c r="CC30" i="1"/>
  <c r="CD32" i="1"/>
  <c r="CC46" i="1"/>
  <c r="CD47" i="1"/>
  <c r="CC38" i="1"/>
  <c r="CD39" i="1"/>
  <c r="CA26" i="1"/>
  <c r="BZ25" i="1"/>
  <c r="CA34" i="1"/>
  <c r="BZ33" i="1"/>
  <c r="BY5" i="1" l="1"/>
  <c r="BY6" i="1" s="1"/>
  <c r="BZ10" i="1"/>
  <c r="BZ8" i="1" s="1"/>
  <c r="CA25" i="1"/>
  <c r="CB26" i="1"/>
  <c r="CE39" i="1"/>
  <c r="CD38" i="1"/>
  <c r="CE47" i="1"/>
  <c r="CD46" i="1"/>
  <c r="CE32" i="1"/>
  <c r="CF32" i="1" s="1"/>
  <c r="CD30" i="1"/>
  <c r="CA33" i="1"/>
  <c r="CB34" i="1"/>
  <c r="BZ5" i="1" l="1"/>
  <c r="BZ6" i="1" s="1"/>
  <c r="CF30" i="1"/>
  <c r="CE30" i="1"/>
  <c r="CF47" i="1"/>
  <c r="CE46" i="1"/>
  <c r="CF39" i="1"/>
  <c r="CE38" i="1"/>
  <c r="CC34" i="1"/>
  <c r="CB33" i="1"/>
  <c r="CC26" i="1"/>
  <c r="CB25" i="1"/>
  <c r="CA10" i="1"/>
  <c r="CA8" i="1" s="1"/>
  <c r="CA5" i="1" l="1"/>
  <c r="CA6" i="1" s="1"/>
  <c r="CF38" i="1"/>
  <c r="CF46" i="1"/>
  <c r="CH30" i="1"/>
  <c r="CI32" i="1"/>
  <c r="CD34" i="1"/>
  <c r="CC33" i="1"/>
  <c r="CB10" i="1"/>
  <c r="CB8" i="1" s="1"/>
  <c r="CD26" i="1"/>
  <c r="CC25" i="1"/>
  <c r="CB5" i="1" l="1"/>
  <c r="CB6" i="1" s="1"/>
  <c r="CJ32" i="1"/>
  <c r="CI30" i="1"/>
  <c r="CH46" i="1"/>
  <c r="CI47" i="1"/>
  <c r="CH38" i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I39" i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C10" i="1"/>
  <c r="CC8" i="1" s="1"/>
  <c r="CE26" i="1"/>
  <c r="CF26" i="1" s="1"/>
  <c r="CF25" i="1" s="1"/>
  <c r="CD25" i="1"/>
  <c r="CE34" i="1"/>
  <c r="CF34" i="1" s="1"/>
  <c r="CH34" i="1" s="1"/>
  <c r="CD33" i="1"/>
  <c r="CC5" i="1" l="1"/>
  <c r="CC6" i="1" s="1"/>
  <c r="CJ47" i="1"/>
  <c r="CI46" i="1"/>
  <c r="CF33" i="1"/>
  <c r="CF10" i="1" s="1"/>
  <c r="CF8" i="1" s="1"/>
  <c r="CJ30" i="1"/>
  <c r="CK32" i="1"/>
  <c r="CE33" i="1"/>
  <c r="CD10" i="1"/>
  <c r="CD8" i="1" s="1"/>
  <c r="CE25" i="1"/>
  <c r="CF5" i="1" l="1"/>
  <c r="CF6" i="1" s="1"/>
  <c r="CL32" i="1"/>
  <c r="CK30" i="1"/>
  <c r="CJ46" i="1"/>
  <c r="CK47" i="1"/>
  <c r="CI34" i="1"/>
  <c r="CH33" i="1"/>
  <c r="CH10" i="1" s="1"/>
  <c r="CH8" i="1" s="1"/>
  <c r="CD5" i="1"/>
  <c r="CD6" i="1" s="1"/>
  <c r="CE10" i="1"/>
  <c r="CE8" i="1" s="1"/>
  <c r="CE5" i="1" l="1"/>
  <c r="CE6" i="1" s="1"/>
  <c r="CH5" i="1"/>
  <c r="CH6" i="1" s="1"/>
  <c r="CJ34" i="1"/>
  <c r="CI33" i="1"/>
  <c r="CI10" i="1" s="1"/>
  <c r="CI8" i="1" s="1"/>
  <c r="CL47" i="1"/>
  <c r="CK46" i="1"/>
  <c r="CL30" i="1"/>
  <c r="CM32" i="1"/>
  <c r="CG5" i="1"/>
  <c r="CI5" i="1" l="1"/>
  <c r="CI6" i="1" s="1"/>
  <c r="CN32" i="1"/>
  <c r="CM30" i="1"/>
  <c r="CL46" i="1"/>
  <c r="CM47" i="1"/>
  <c r="CK34" i="1"/>
  <c r="CJ33" i="1"/>
  <c r="CJ10" i="1" s="1"/>
  <c r="CJ8" i="1" s="1"/>
  <c r="CJ5" i="1" l="1"/>
  <c r="CJ6" i="1" s="1"/>
  <c r="CN47" i="1"/>
  <c r="CM46" i="1"/>
  <c r="CL34" i="1"/>
  <c r="CK33" i="1"/>
  <c r="CK10" i="1" s="1"/>
  <c r="CK8" i="1" s="1"/>
  <c r="CN30" i="1"/>
  <c r="CO32" i="1"/>
  <c r="CK5" i="1" l="1"/>
  <c r="CK6" i="1" s="1"/>
  <c r="CM34" i="1"/>
  <c r="CL33" i="1"/>
  <c r="CL10" i="1" s="1"/>
  <c r="CL8" i="1" s="1"/>
  <c r="CP32" i="1"/>
  <c r="CO30" i="1"/>
  <c r="CN46" i="1"/>
  <c r="CO47" i="1"/>
  <c r="CL5" i="1" l="1"/>
  <c r="CL6" i="1" s="1"/>
  <c r="CP47" i="1"/>
  <c r="CO46" i="1"/>
  <c r="CP30" i="1"/>
  <c r="CQ32" i="1"/>
  <c r="CN34" i="1"/>
  <c r="CM33" i="1"/>
  <c r="CM10" i="1" s="1"/>
  <c r="CM8" i="1" s="1"/>
  <c r="CM5" i="1" l="1"/>
  <c r="CM6" i="1" s="1"/>
  <c r="CO34" i="1"/>
  <c r="CN33" i="1"/>
  <c r="CN10" i="1" s="1"/>
  <c r="CN8" i="1" s="1"/>
  <c r="CR32" i="1"/>
  <c r="CQ30" i="1"/>
  <c r="CP46" i="1"/>
  <c r="CQ47" i="1"/>
  <c r="CN5" i="1" l="1"/>
  <c r="CN6" i="1" s="1"/>
  <c r="CR47" i="1"/>
  <c r="CQ46" i="1"/>
  <c r="CP34" i="1"/>
  <c r="CO33" i="1"/>
  <c r="CO10" i="1" s="1"/>
  <c r="CO8" i="1" s="1"/>
  <c r="CR30" i="1"/>
  <c r="CS32" i="1"/>
  <c r="CS30" i="1" s="1"/>
  <c r="CO5" i="1" l="1"/>
  <c r="CO6" i="1" s="1"/>
  <c r="CQ34" i="1"/>
  <c r="CP33" i="1"/>
  <c r="CP10" i="1" s="1"/>
  <c r="CP8" i="1" s="1"/>
  <c r="CR46" i="1"/>
  <c r="CS47" i="1"/>
  <c r="CS46" i="1" s="1"/>
  <c r="CP5" i="1" l="1"/>
  <c r="CP6" i="1" s="1"/>
  <c r="CR34" i="1"/>
  <c r="CQ33" i="1"/>
  <c r="CQ10" i="1" s="1"/>
  <c r="CQ8" i="1" s="1"/>
  <c r="CQ5" i="1" l="1"/>
  <c r="CQ6" i="1" s="1"/>
  <c r="CS34" i="1"/>
  <c r="CR33" i="1"/>
  <c r="CR10" i="1" s="1"/>
  <c r="CR8" i="1" s="1"/>
  <c r="CR5" i="1" l="1"/>
  <c r="CR6" i="1" s="1"/>
  <c r="CS33" i="1"/>
  <c r="CS10" i="1" s="1"/>
  <c r="CS8" i="1" s="1"/>
  <c r="CU34" i="1"/>
  <c r="CS5" i="1" l="1"/>
  <c r="CT5" i="1" s="1"/>
  <c r="CV34" i="1"/>
  <c r="CU33" i="1"/>
  <c r="CU10" i="1" s="1"/>
  <c r="CU8" i="1" s="1"/>
  <c r="CS6" i="1" l="1"/>
  <c r="CU5" i="1"/>
  <c r="CU6" i="1" s="1"/>
  <c r="CW34" i="1"/>
  <c r="CV33" i="1"/>
  <c r="CV10" i="1" s="1"/>
  <c r="CV8" i="1" s="1"/>
  <c r="CV5" i="1" l="1"/>
  <c r="CV6" i="1" s="1"/>
  <c r="CX34" i="1"/>
  <c r="CW33" i="1"/>
  <c r="CW10" i="1" s="1"/>
  <c r="CW8" i="1" s="1"/>
  <c r="CW5" i="1" l="1"/>
  <c r="CW6" i="1" s="1"/>
  <c r="CY34" i="1"/>
  <c r="CX33" i="1"/>
  <c r="CX10" i="1" s="1"/>
  <c r="CX8" i="1" s="1"/>
  <c r="CX5" i="1" l="1"/>
  <c r="CX6" i="1" s="1"/>
  <c r="CZ34" i="1"/>
  <c r="CY33" i="1"/>
  <c r="CY10" i="1" s="1"/>
  <c r="CY8" i="1" s="1"/>
  <c r="CY5" i="1" l="1"/>
  <c r="CY6" i="1" s="1"/>
  <c r="DA34" i="1"/>
  <c r="CZ33" i="1"/>
  <c r="CZ10" i="1" s="1"/>
  <c r="CZ8" i="1" s="1"/>
  <c r="CZ5" i="1" l="1"/>
  <c r="CZ6" i="1" s="1"/>
  <c r="DB34" i="1"/>
  <c r="DA33" i="1"/>
  <c r="DA10" i="1" s="1"/>
  <c r="DA8" i="1" s="1"/>
  <c r="DA5" i="1" l="1"/>
  <c r="DA6" i="1" s="1"/>
  <c r="DC34" i="1"/>
  <c r="DB33" i="1"/>
  <c r="DB10" i="1" s="1"/>
  <c r="DB8" i="1" s="1"/>
  <c r="DB5" i="1" l="1"/>
  <c r="DB6" i="1" s="1"/>
  <c r="DD34" i="1"/>
  <c r="DC33" i="1"/>
  <c r="DC10" i="1" s="1"/>
  <c r="DC8" i="1" s="1"/>
  <c r="DC5" i="1" l="1"/>
  <c r="DC6" i="1" s="1"/>
  <c r="DE34" i="1"/>
  <c r="DD33" i="1"/>
  <c r="DD10" i="1" s="1"/>
  <c r="DD8" i="1" s="1"/>
  <c r="DD5" i="1" l="1"/>
  <c r="DD6" i="1" s="1"/>
  <c r="DF34" i="1"/>
  <c r="DF33" i="1" s="1"/>
  <c r="DF10" i="1" s="1"/>
  <c r="DF8" i="1" s="1"/>
  <c r="DE33" i="1"/>
  <c r="DE10" i="1" s="1"/>
  <c r="DE8" i="1" s="1"/>
  <c r="DE5" i="1" l="1"/>
  <c r="DE6" i="1" s="1"/>
  <c r="DF5" i="1"/>
  <c r="DF6" i="1" s="1"/>
  <c r="DG5" i="1" l="1"/>
</calcChain>
</file>

<file path=xl/sharedStrings.xml><?xml version="1.0" encoding="utf-8"?>
<sst xmlns="http://schemas.openxmlformats.org/spreadsheetml/2006/main" count="1076" uniqueCount="681">
  <si>
    <t>Item</t>
  </si>
  <si>
    <t>Receita</t>
  </si>
  <si>
    <t>Total Acumulado Ano 1</t>
  </si>
  <si>
    <t>Total Acumulado Ano 2</t>
  </si>
  <si>
    <t>1.1</t>
  </si>
  <si>
    <t>Reposição</t>
  </si>
  <si>
    <t>Total Fixo + Variável</t>
  </si>
  <si>
    <t>Conta</t>
  </si>
  <si>
    <t>Custos Fixos</t>
  </si>
  <si>
    <t>1.0</t>
  </si>
  <si>
    <t>1.0.1</t>
  </si>
  <si>
    <t>Salários</t>
  </si>
  <si>
    <t>1.1.1</t>
  </si>
  <si>
    <t>1.1.2</t>
  </si>
  <si>
    <t>1.1.3</t>
  </si>
  <si>
    <t>1.1.4</t>
  </si>
  <si>
    <t>Pró-labore</t>
  </si>
  <si>
    <t>1.1.5</t>
  </si>
  <si>
    <t>Encargos Sociais (FGTS, INSS)</t>
  </si>
  <si>
    <t>1.1.6</t>
  </si>
  <si>
    <t>Beneficios (VT, VR, Plano Saúde)</t>
  </si>
  <si>
    <t>1.2</t>
  </si>
  <si>
    <t>Despesas</t>
  </si>
  <si>
    <t>1.2.1</t>
  </si>
  <si>
    <t>Energia Elétrica</t>
  </si>
  <si>
    <t>1.2.2</t>
  </si>
  <si>
    <t>Água</t>
  </si>
  <si>
    <t>1.2.3</t>
  </si>
  <si>
    <t>1.2.4</t>
  </si>
  <si>
    <t>Telefone e Internet</t>
  </si>
  <si>
    <t>1.3</t>
  </si>
  <si>
    <t>Equipamentos</t>
  </si>
  <si>
    <t>1.3.1</t>
  </si>
  <si>
    <t>Depreciação Equip. de Produção</t>
  </si>
  <si>
    <t>1.3.2</t>
  </si>
  <si>
    <t>Manuteção preventiva e corretiva</t>
  </si>
  <si>
    <t>1.4</t>
  </si>
  <si>
    <t>Marketing e Publicidade</t>
  </si>
  <si>
    <t>1.4.1</t>
  </si>
  <si>
    <t>Material da Identidade Visual</t>
  </si>
  <si>
    <t>1.4.2</t>
  </si>
  <si>
    <t>Marketing Digital</t>
  </si>
  <si>
    <t>1.4.3</t>
  </si>
  <si>
    <t>Material publicitário de Eventos</t>
  </si>
  <si>
    <t>1.4.4</t>
  </si>
  <si>
    <t>Cortesias e Brindes</t>
  </si>
  <si>
    <t>1.5</t>
  </si>
  <si>
    <t>Desp Administrativos</t>
  </si>
  <si>
    <t>1.5.1</t>
  </si>
  <si>
    <t>Material de Escritório</t>
  </si>
  <si>
    <t>1.5.2</t>
  </si>
  <si>
    <t>Higiene, limpeza , reparos e manut. escritório</t>
  </si>
  <si>
    <t>1.5.3</t>
  </si>
  <si>
    <t>Software de Gestão</t>
  </si>
  <si>
    <t>1.5.4</t>
  </si>
  <si>
    <t>Jurídico</t>
  </si>
  <si>
    <t>1.5.5</t>
  </si>
  <si>
    <t>1.5.6</t>
  </si>
  <si>
    <t>Serviços Administrativos/Financeiro</t>
  </si>
  <si>
    <t>1.6</t>
  </si>
  <si>
    <t>Seguros</t>
  </si>
  <si>
    <t>1.6.1</t>
  </si>
  <si>
    <t>Seguro do Imóvel</t>
  </si>
  <si>
    <t>1.6.2</t>
  </si>
  <si>
    <t>Seguro de Equipamentos</t>
  </si>
  <si>
    <t>1.6.3</t>
  </si>
  <si>
    <t>Seguro de Responsabilidade Civil/outros</t>
  </si>
  <si>
    <t>1.7</t>
  </si>
  <si>
    <t>Outros custos fixos</t>
  </si>
  <si>
    <t>Financiamento e Empréstimos</t>
  </si>
  <si>
    <t>1.7.2</t>
  </si>
  <si>
    <t>Despesas Financeiras (Taxas, Tarifas...)</t>
  </si>
  <si>
    <t>1.7.3</t>
  </si>
  <si>
    <t>Custos Variáveis</t>
  </si>
  <si>
    <t>2.0</t>
  </si>
  <si>
    <t>Matéria Prima</t>
  </si>
  <si>
    <t>2.0.1</t>
  </si>
  <si>
    <t>Custo com Mercadoria Vendida (CMV)</t>
  </si>
  <si>
    <t>2.1</t>
  </si>
  <si>
    <t>Embalagens</t>
  </si>
  <si>
    <t>2.1.1</t>
  </si>
  <si>
    <t>2.1.2</t>
  </si>
  <si>
    <t>2.2</t>
  </si>
  <si>
    <t>Insumos</t>
  </si>
  <si>
    <t>2.2.1</t>
  </si>
  <si>
    <t>Tag Identificação + Etiqueta termo colante</t>
  </si>
  <si>
    <t>2.3</t>
  </si>
  <si>
    <t>Logística</t>
  </si>
  <si>
    <t>2.3.1</t>
  </si>
  <si>
    <t>Transporte Fornecedor</t>
  </si>
  <si>
    <t>2.3.2</t>
  </si>
  <si>
    <t>Entrega de produtos aos clientes</t>
  </si>
  <si>
    <t>2.4</t>
  </si>
  <si>
    <t>Comissões de Vendas</t>
  </si>
  <si>
    <t>2.4.1</t>
  </si>
  <si>
    <t>Comissão para Vendedores</t>
  </si>
  <si>
    <t>2.4.2</t>
  </si>
  <si>
    <t>Comissão para Representantes</t>
  </si>
  <si>
    <t>2.5</t>
  </si>
  <si>
    <t>Impostos sobre Vendas</t>
  </si>
  <si>
    <t>2.5.1</t>
  </si>
  <si>
    <t>2.6</t>
  </si>
  <si>
    <t>Perdas e Desperdícios</t>
  </si>
  <si>
    <t>Matéiria-prima perdida durante o processo</t>
  </si>
  <si>
    <t>Produtos danificados</t>
  </si>
  <si>
    <t>Outros custos variáveis</t>
  </si>
  <si>
    <t>2.7.1</t>
  </si>
  <si>
    <t>Plataforma E-commerce (Mensalidade)</t>
  </si>
  <si>
    <t>2.7.2</t>
  </si>
  <si>
    <t>Ferramentas Marketing/Produtividade</t>
  </si>
  <si>
    <t>2.7.3</t>
  </si>
  <si>
    <t>Marketing &amp; Publicidade (Recorrente)</t>
  </si>
  <si>
    <t>2.7.4</t>
  </si>
  <si>
    <t>Mão de obra extras e eventos</t>
  </si>
  <si>
    <t>2.9</t>
  </si>
  <si>
    <t>Outros/pequenos gastos</t>
  </si>
  <si>
    <t>RECEITATtOTAL</t>
  </si>
  <si>
    <t>3.1</t>
  </si>
  <si>
    <t>Abertura</t>
  </si>
  <si>
    <t>Fechamento</t>
  </si>
  <si>
    <t>Semana</t>
  </si>
  <si>
    <t>Sábado</t>
  </si>
  <si>
    <t>Inauguração</t>
  </si>
  <si>
    <t>Quinta</t>
  </si>
  <si>
    <t>Terça</t>
  </si>
  <si>
    <t>Sexta</t>
  </si>
  <si>
    <t>Segunda</t>
  </si>
  <si>
    <t>Natal</t>
  </si>
  <si>
    <t>Finados</t>
  </si>
  <si>
    <t>Independência</t>
  </si>
  <si>
    <t>Tiradentes</t>
  </si>
  <si>
    <t>Dias Úteis</t>
  </si>
  <si>
    <t>Sábados</t>
  </si>
  <si>
    <t>Domingos</t>
  </si>
  <si>
    <t>Carnaval</t>
  </si>
  <si>
    <t>Quarta</t>
  </si>
  <si>
    <t>Cinzas</t>
  </si>
  <si>
    <t>Feriados</t>
  </si>
  <si>
    <t>Total</t>
  </si>
  <si>
    <t>Imóvel</t>
  </si>
  <si>
    <t>Equipe de 6 horas</t>
  </si>
  <si>
    <t>Recepção</t>
  </si>
  <si>
    <t>Atendimento Comercial</t>
  </si>
  <si>
    <t>Gerente</t>
  </si>
  <si>
    <t>Salário</t>
  </si>
  <si>
    <t>Encargos + Benefícios</t>
  </si>
  <si>
    <t>Limpeza</t>
  </si>
  <si>
    <t>Marketing</t>
  </si>
  <si>
    <t>Funcionários Recepção</t>
  </si>
  <si>
    <t>Funcionários Limpeza</t>
  </si>
  <si>
    <t>Funcionários Marketing</t>
  </si>
  <si>
    <t>Funcionários Gerente</t>
  </si>
  <si>
    <t>Diversos</t>
  </si>
  <si>
    <t>Resultado</t>
  </si>
  <si>
    <t>2.5.2</t>
  </si>
  <si>
    <t>Percentual sobre a venda</t>
  </si>
  <si>
    <t>4.1</t>
  </si>
  <si>
    <t>1.1.7</t>
  </si>
  <si>
    <t>1.1.8</t>
  </si>
  <si>
    <t>VF</t>
  </si>
  <si>
    <t>VP</t>
  </si>
  <si>
    <t>Taxa</t>
  </si>
  <si>
    <t>nper</t>
  </si>
  <si>
    <t>pgto</t>
  </si>
  <si>
    <t>per</t>
  </si>
  <si>
    <t>período/tempo</t>
  </si>
  <si>
    <t>fluxo mensal</t>
  </si>
  <si>
    <t>tempo</t>
  </si>
  <si>
    <t>taxa de juros</t>
  </si>
  <si>
    <t>valor presente</t>
  </si>
  <si>
    <t>valor futuro</t>
  </si>
  <si>
    <t>R$ Unit</t>
  </si>
  <si>
    <t>Entrada %</t>
  </si>
  <si>
    <t>Entrada R$</t>
  </si>
  <si>
    <t>Saldo a Pagar</t>
  </si>
  <si>
    <t>1.5.7</t>
  </si>
  <si>
    <t>IPTU</t>
  </si>
  <si>
    <t>Início</t>
  </si>
  <si>
    <t>Término</t>
  </si>
  <si>
    <t>Prazo (dias)</t>
  </si>
  <si>
    <t>Dias 2026</t>
  </si>
  <si>
    <t>Dias Trabalhado</t>
  </si>
  <si>
    <t xml:space="preserve">R$ Total </t>
  </si>
  <si>
    <t>Meta</t>
  </si>
  <si>
    <t>Res. Mensal</t>
  </si>
  <si>
    <t>Tx de Ocupação (% Hs)</t>
  </si>
  <si>
    <t>Equipe 6 horas</t>
  </si>
  <si>
    <t>Educador Físico</t>
  </si>
  <si>
    <t>3 Horas</t>
  </si>
  <si>
    <t>8 horas</t>
  </si>
  <si>
    <t>8 Horas</t>
  </si>
  <si>
    <t>Produtividade</t>
  </si>
  <si>
    <t>R$ Produtiv.</t>
  </si>
  <si>
    <t>R$ Encargos</t>
  </si>
  <si>
    <t>R$ Salário + Encargos + Produt.</t>
  </si>
  <si>
    <t>Diretor Pro Labore</t>
  </si>
  <si>
    <t>1.1.9</t>
  </si>
  <si>
    <t>Educador Fisico</t>
  </si>
  <si>
    <t>Total Acumulado Ano 3</t>
  </si>
  <si>
    <t>Cartão 2026</t>
  </si>
  <si>
    <t>Cartão 2027</t>
  </si>
  <si>
    <t>Cartão 2028</t>
  </si>
  <si>
    <t>Cartão 2029</t>
  </si>
  <si>
    <t>Cartão 2030</t>
  </si>
  <si>
    <t>Cartão 2031</t>
  </si>
  <si>
    <t>Reajuste 10%</t>
  </si>
  <si>
    <t>Desp. Financ.</t>
  </si>
  <si>
    <t>Financiamento + Empréstimos + Pagamento</t>
  </si>
  <si>
    <t>5.1</t>
  </si>
  <si>
    <t>Reforma + Investimentos Diversos</t>
  </si>
  <si>
    <t>Fornecedores</t>
  </si>
  <si>
    <t>Presumido</t>
  </si>
  <si>
    <t>M2</t>
  </si>
  <si>
    <t>Total Parcelamento</t>
  </si>
  <si>
    <t>R$ Parcela</t>
  </si>
  <si>
    <t>R$ M2</t>
  </si>
  <si>
    <t>Aluguel/Parcelmento Imóvel</t>
  </si>
  <si>
    <t>Aluno por Hora</t>
  </si>
  <si>
    <t>R$ Hora</t>
  </si>
  <si>
    <t>Parcela</t>
  </si>
  <si>
    <t>Finan. Imóvel</t>
  </si>
  <si>
    <t>Diamante</t>
  </si>
  <si>
    <t>Ouro</t>
  </si>
  <si>
    <t xml:space="preserve">Prata </t>
  </si>
  <si>
    <t>Bronze</t>
  </si>
  <si>
    <t>Benefícios</t>
  </si>
  <si>
    <t>Reforma Imóvel</t>
  </si>
  <si>
    <t>Entrada  30%</t>
  </si>
  <si>
    <t>Meta Alunos</t>
  </si>
  <si>
    <t>Prata</t>
  </si>
  <si>
    <t>Classificação Personal Hora</t>
  </si>
  <si>
    <t>Categoria</t>
  </si>
  <si>
    <t>Meta %</t>
  </si>
  <si>
    <t>R$ Média</t>
  </si>
  <si>
    <t>Internet</t>
  </si>
  <si>
    <t>Sala de Descanço</t>
  </si>
  <si>
    <t>Banheiro</t>
  </si>
  <si>
    <t>Banho</t>
  </si>
  <si>
    <t>Sala de Reunião</t>
  </si>
  <si>
    <t xml:space="preserve">Acesso Facial </t>
  </si>
  <si>
    <t>Hora para Treino Pessoal</t>
  </si>
  <si>
    <t>S</t>
  </si>
  <si>
    <t>N</t>
  </si>
  <si>
    <t>Sala para Refeição</t>
  </si>
  <si>
    <t>Bebodouro Água</t>
  </si>
  <si>
    <t>Smith</t>
  </si>
  <si>
    <t>Leg press horizontal</t>
  </si>
  <si>
    <t>Cadeira flexora/extensora (multi)</t>
  </si>
  <si>
    <t>Cadeira adutora/abdutora (multi)</t>
  </si>
  <si>
    <t>Crossover</t>
  </si>
  <si>
    <t>Lat pull down + low row</t>
  </si>
  <si>
    <t>Power rack</t>
  </si>
  <si>
    <t>Lifefitness</t>
  </si>
  <si>
    <t>Cimerian</t>
  </si>
  <si>
    <t>Pesos livres</t>
  </si>
  <si>
    <t>Halteres (1-10kg)</t>
  </si>
  <si>
    <t>Halteres (12-35kg)</t>
  </si>
  <si>
    <t>Anilhas (2,5/5/10/20kg)</t>
  </si>
  <si>
    <t>Barras (reta, w, olímpica, hex.)</t>
  </si>
  <si>
    <t>Poundfit</t>
  </si>
  <si>
    <t>HubGym</t>
  </si>
  <si>
    <t>Rotha</t>
  </si>
  <si>
    <t>2 Bancos inclináveis</t>
  </si>
  <si>
    <t>Banco declinado</t>
  </si>
  <si>
    <t>Acessórios</t>
  </si>
  <si>
    <t>2 espaldares</t>
  </si>
  <si>
    <t>6 colchonetes</t>
  </si>
  <si>
    <t>3 superband</t>
  </si>
  <si>
    <t>8 miniband</t>
  </si>
  <si>
    <t>bastão mobilidade</t>
  </si>
  <si>
    <t>10 presilhas barras</t>
  </si>
  <si>
    <t>2 caneleiras</t>
  </si>
  <si>
    <t xml:space="preserve">6 manoplas </t>
  </si>
  <si>
    <t>2 cordas pulley</t>
  </si>
  <si>
    <t>2 barras pulley (reta e w)</t>
  </si>
  <si>
    <t>2 steps</t>
  </si>
  <si>
    <t>1 bosu chão</t>
  </si>
  <si>
    <t>1 bola suiça</t>
  </si>
  <si>
    <t>1 TRX</t>
  </si>
  <si>
    <t xml:space="preserve">1 caixote </t>
  </si>
  <si>
    <t>encaixe p/ barra cavalinho</t>
  </si>
  <si>
    <t>rolinho abd</t>
  </si>
  <si>
    <t>Estimativa (aprox)</t>
  </si>
  <si>
    <t>Valor total mínimo ~</t>
  </si>
  <si>
    <t>Total Health</t>
  </si>
  <si>
    <t>indisponível</t>
  </si>
  <si>
    <t>Academia Leven</t>
  </si>
  <si>
    <t>Qt Aula</t>
  </si>
  <si>
    <t>R$ Aula</t>
  </si>
  <si>
    <t>R$ Plano</t>
  </si>
  <si>
    <t>Meses</t>
  </si>
  <si>
    <t>R$ Pers.</t>
  </si>
  <si>
    <t>Ocupação</t>
  </si>
  <si>
    <t xml:space="preserve">Planos e faturamento mensal </t>
  </si>
  <si>
    <t>Horas/dia</t>
  </si>
  <si>
    <t>Horas/mês</t>
  </si>
  <si>
    <t>Aluno/hora</t>
  </si>
  <si>
    <t>horas40%</t>
  </si>
  <si>
    <t>R$/Hora</t>
  </si>
  <si>
    <t>R$ Total/mês</t>
  </si>
  <si>
    <t>T.Aluno</t>
  </si>
  <si>
    <t>Dias/mês</t>
  </si>
  <si>
    <t>Kit (toalha, shamp, sab)</t>
  </si>
  <si>
    <t>R$ 53,00/aula</t>
  </si>
  <si>
    <t>Academia</t>
  </si>
  <si>
    <t>Bodytech (Eldorado/Leopoldo)</t>
  </si>
  <si>
    <t>Uniforme (cal/cam)</t>
  </si>
  <si>
    <t>Bodytech (Iguatemi)</t>
  </si>
  <si>
    <t>Smartfit</t>
  </si>
  <si>
    <t>R$ 450,00/mês</t>
  </si>
  <si>
    <t>Skyfit</t>
  </si>
  <si>
    <t>R$ 350,00/mês</t>
  </si>
  <si>
    <t>Nation CT</t>
  </si>
  <si>
    <t>R$ 1100,00/mês</t>
  </si>
  <si>
    <t>Bodytech (JK)</t>
  </si>
  <si>
    <t>R$ 41,00/aula</t>
  </si>
  <si>
    <t>R$ 800-1200/mês</t>
  </si>
  <si>
    <t>Taxa p/ professor</t>
  </si>
  <si>
    <t>Six Sport Life</t>
  </si>
  <si>
    <t>Comparativo academias</t>
  </si>
  <si>
    <t>R$ 50,00/aula</t>
  </si>
  <si>
    <t>Sett</t>
  </si>
  <si>
    <t>R$ 300-450/mês</t>
  </si>
  <si>
    <t>~ mensalidade p/ aluno</t>
  </si>
  <si>
    <t>Bio ritmo</t>
  </si>
  <si>
    <t>Benefícios para o professor</t>
  </si>
  <si>
    <t>R$ 40 - R$ 60/aula</t>
  </si>
  <si>
    <t>Treino na unidade (mínimo 30 aulas dadas no mês)</t>
  </si>
  <si>
    <t>Treino na unidade</t>
  </si>
  <si>
    <t>Treino na unidade (tem valor mínimo de aulas no mês)</t>
  </si>
  <si>
    <t>Não há nenhum benefício para o professor</t>
  </si>
  <si>
    <t>R$ 380,00 - R$ 580,00</t>
  </si>
  <si>
    <t>R$ 1660,00 + matr. R$ 350,00</t>
  </si>
  <si>
    <t>R$ 797 (Eld.) / R$ 461 (Leop.)</t>
  </si>
  <si>
    <t>R$ 65,00/aula</t>
  </si>
  <si>
    <t>Estastística descritiva</t>
  </si>
  <si>
    <t>indicador</t>
  </si>
  <si>
    <t>aulas/mês</t>
  </si>
  <si>
    <t>Dia cheio</t>
  </si>
  <si>
    <t>Dia vazio</t>
  </si>
  <si>
    <t>média</t>
  </si>
  <si>
    <t>mediana</t>
  </si>
  <si>
    <t>moda</t>
  </si>
  <si>
    <t>amostra n</t>
  </si>
  <si>
    <t>desvio s</t>
  </si>
  <si>
    <t>mínimo</t>
  </si>
  <si>
    <t>máximo</t>
  </si>
  <si>
    <t>IC (95%)</t>
  </si>
  <si>
    <t>[41,1-82,6]</t>
  </si>
  <si>
    <t>[4,45-6,65]</t>
  </si>
  <si>
    <t>[1,74-3,5]</t>
  </si>
  <si>
    <t>Interpretção dos dados</t>
  </si>
  <si>
    <t>Distribuição mensal é muito dispersa</t>
  </si>
  <si>
    <t>O desvio padrão (s) alto, de 54,56, significa que tem alta variação entre profissionais (8-200 aulas/mês)</t>
  </si>
  <si>
    <t>Média mensal de aulas dadas</t>
  </si>
  <si>
    <t>A média mensal de aulas dadas é de aprox. 62 aulas/mês, mas a médiana é de 50, o que indica que alguns professores experientes elevaram a média</t>
  </si>
  <si>
    <t xml:space="preserve">Realizando uma inferência estatística, através dos nossos dados coletados, há 95% de confiança de que o personal da em média entre 41-83 aulas por mês </t>
  </si>
  <si>
    <t>Dia cheio e dia vazio típicos</t>
  </si>
  <si>
    <t>Em um dia cheio o personal da 5-6 aulas, raramente acima de 8, e em um dia vazio, ele da 1-3 aulas</t>
  </si>
  <si>
    <t>Critérios para definição da faixa ideal de aulas/mês por plano</t>
  </si>
  <si>
    <t>Para cada avanço de planos há aumento de 25-30% nas aulas/mês</t>
  </si>
  <si>
    <t>As faixas serão definidas pelos quartis e pelo IC (dados estatísticos)</t>
  </si>
  <si>
    <t>Mix alvo dos planos: meta 40% de ocupação no primeiro ano, e faturamento de R$ 49.459,20, considerando que dos 40%, 27,3% precisam ser do plano bronze</t>
  </si>
  <si>
    <t>→</t>
  </si>
  <si>
    <t>Proposta da estrutura de planos</t>
  </si>
  <si>
    <t>Perfil estatístico</t>
  </si>
  <si>
    <t>Justificativa</t>
  </si>
  <si>
    <t>Plano</t>
  </si>
  <si>
    <t>Faixa de aulas/mês</t>
  </si>
  <si>
    <t>15-45 aulas/mês</t>
  </si>
  <si>
    <t>41-70 aulas mês</t>
  </si>
  <si>
    <t>71-110 aulas/mês</t>
  </si>
  <si>
    <t>111-200+ aulas/mês</t>
  </si>
  <si>
    <t>Abaixo da mediana</t>
  </si>
  <si>
    <t xml:space="preserve">Entre a mediana e ligeiramente acima </t>
  </si>
  <si>
    <t>Entre Q3 (25% que dão mais aulas) e limite superior a 95%IC</t>
  </si>
  <si>
    <t>10-15% dos que mais dão aulas</t>
  </si>
  <si>
    <t>Profissional iniciante com baixa carga de alunos</t>
  </si>
  <si>
    <t>Profissional estável, carga próxima a média</t>
  </si>
  <si>
    <t>Alta produtividade com carteira consolidada</t>
  </si>
  <si>
    <t>Profissional de alta demanda</t>
  </si>
  <si>
    <t>41-70</t>
  </si>
  <si>
    <t>71-110</t>
  </si>
  <si>
    <t>110-200+</t>
  </si>
  <si>
    <t>Nossa academia</t>
  </si>
  <si>
    <t>Meta aulas dadas/mês</t>
  </si>
  <si>
    <t>média mensal de aulas dadas (com IC 95%)</t>
  </si>
  <si>
    <t>BRW Group</t>
  </si>
  <si>
    <t>Q1 (25%)</t>
  </si>
  <si>
    <t>Q3 (75%)</t>
  </si>
  <si>
    <t>Buckler</t>
  </si>
  <si>
    <t>Total Acumulado Ano 4</t>
  </si>
  <si>
    <t>Total Acumulado Ano 5</t>
  </si>
  <si>
    <t>Total Acumulado Ano 6</t>
  </si>
  <si>
    <t>Máquinas</t>
  </si>
  <si>
    <t>Kettlebell</t>
  </si>
  <si>
    <t>Sala de espera</t>
  </si>
  <si>
    <t>Academia exclusiva</t>
  </si>
  <si>
    <t>Zero mensalidade</t>
  </si>
  <si>
    <t xml:space="preserve"> Sala de espera com conforto e facilities para descansar ou fazer reuniões (tomadas, máquina de café, TV mercado fin.Bloomberg)</t>
  </si>
  <si>
    <t xml:space="preserve"> O aluno paga somente o personal trainer </t>
  </si>
  <si>
    <t>Ambientes da academia (250m²)</t>
  </si>
  <si>
    <t>Sala de cardio (acesso da sala de espera)</t>
  </si>
  <si>
    <t>Sala de espera (com facilities e conforto/descanso para os alunos)</t>
  </si>
  <si>
    <t>Sala de musculação (máquinas e pesos livres) (acesso da sala de espera)</t>
  </si>
  <si>
    <t>Sala de descanso professores (acesso da sala de musculação)</t>
  </si>
  <si>
    <t>Sala de reunião professores (acesso da sala de musculação)</t>
  </si>
  <si>
    <t>Copa dos professores (acesso da sala de musculação)</t>
  </si>
  <si>
    <t>Vestiários individuais (feminino e masculino) (acesso da sala de musculação)</t>
  </si>
  <si>
    <t>Sauna (para alunos e professores (ouro e diam.) (acesso da sala de musc.)</t>
  </si>
  <si>
    <t xml:space="preserve">Possíveis localizações </t>
  </si>
  <si>
    <t>Moema (pássaros/índios), Itaim Bibi, Jardim Paulista</t>
  </si>
  <si>
    <t>Aluguel (0,85%)</t>
  </si>
  <si>
    <t>parcelas</t>
  </si>
  <si>
    <t>TechnoGym</t>
  </si>
  <si>
    <t>Parâmetros</t>
  </si>
  <si>
    <t>Horas úteis (semana)</t>
  </si>
  <si>
    <t>Preço/toalha</t>
  </si>
  <si>
    <t>valores</t>
  </si>
  <si>
    <t>Cálculos</t>
  </si>
  <si>
    <t>Custo por banho (kit)</t>
  </si>
  <si>
    <t>Custo lavagem toalha</t>
  </si>
  <si>
    <t>Ano</t>
  </si>
  <si>
    <t>Banhos profs./mês</t>
  </si>
  <si>
    <t>Custo Sachês/mês</t>
  </si>
  <si>
    <t>Custo lavagens toalh.</t>
  </si>
  <si>
    <t>Qtd.Reposições</t>
  </si>
  <si>
    <t>Custo total das repos.</t>
  </si>
  <si>
    <t>Custo total/mês</t>
  </si>
  <si>
    <t>Custo total/ano</t>
  </si>
  <si>
    <t>Custo Kit Sache/banho</t>
  </si>
  <si>
    <t>Custo Lavagem/toalha</t>
  </si>
  <si>
    <t>Estimativa professores com Kit (diamante)</t>
  </si>
  <si>
    <t>Banhos/mês prof. (full capacity)</t>
  </si>
  <si>
    <t>Professores simultâneos por horário (full)</t>
  </si>
  <si>
    <t>Dias úteis</t>
  </si>
  <si>
    <t>Horas sábado func.</t>
  </si>
  <si>
    <t>Horas domingo func.</t>
  </si>
  <si>
    <t>Horas dias úteis func.</t>
  </si>
  <si>
    <t>Professores em dias úteis/semana</t>
  </si>
  <si>
    <t>Professores em sábados e domingos/semana</t>
  </si>
  <si>
    <t>Total de professores/semana (full capacity)</t>
  </si>
  <si>
    <t>Qtd. de professores/dia/semana (4 aulas por professor/dia)</t>
  </si>
  <si>
    <t xml:space="preserve">Estimativa de aulas dadas por professor/dia </t>
  </si>
  <si>
    <t>Média de aulas dadas por dia/professor (dias vazios e cheios)</t>
  </si>
  <si>
    <t>arredondando</t>
  </si>
  <si>
    <t>Tot. Banh. Prof. Mês (full capacity)</t>
  </si>
  <si>
    <t>Total Banhos mês (full capacity)</t>
  </si>
  <si>
    <t>Banhos totais/mês</t>
  </si>
  <si>
    <t>Horas sábado e domingo (semana)</t>
  </si>
  <si>
    <t>Reposição toalhas que se perdem/estragam</t>
  </si>
  <si>
    <t>Kit Higiene (sachês retornáveis + lavagem toalhas)</t>
  </si>
  <si>
    <t>Armários rotativos</t>
  </si>
  <si>
    <t>Bucker</t>
  </si>
  <si>
    <t>1 Bike</t>
  </si>
  <si>
    <t>Autonomia de imagem (sem uniformes obrigat.)</t>
  </si>
  <si>
    <t>Marketplace (+ clientes)</t>
  </si>
  <si>
    <t>Academia com quantidade limitada de pessoas por horário na área de musculação</t>
  </si>
  <si>
    <t xml:space="preserve">Acreditamos que profissionais autônomos da área da saúde, wellness e fitness devam ter um lugar com o qual se identifiquem, onde se sintam confortáveis, autênticos, acolhidos e valorizados, espaços nos quais possam não apenas confiar para levar seus clientes, mas também para pertencer. A rotina caótica, a necessidade de empreender desde o início da carreira, a exaustão física e o cansaço mental interferem diretamente na qualidade de vida desses profissionais e na experiência oferecida a seus clientes. Nossa cultura é fundamentada no princípio de que o profissional liberal precisa ter conforto e acolhimento enquanto exerce seu atendimento, além de mais oportunidades para mostrar seu trabalho a futuros clientes, ampliando não apenas sua experiência e produtividade, mas também sua renda, previsibilidade de receita e dignidade profissional. </t>
  </si>
  <si>
    <t>Por que fazemos?</t>
  </si>
  <si>
    <t>Como fazemos?</t>
  </si>
  <si>
    <t>Acreditando nisso, criamos espaços pensados para que profissionais trabalhem o tempo que for preciso, com conforto e apoio enquanto estiverem conosco. Tranformamos essa crença em prática ao unir: ambiente de trabalho voltado ao conforto e à experiência de nossos usuários; desenvolvimento pessoal e valorização profissional; e um sistema de crescimento e previsibilidade, que amplia as possibilidades de conexão com novos clientes, de forma estruturada, e a evolução da receita.</t>
  </si>
  <si>
    <t>O que fazemos?</t>
  </si>
  <si>
    <t>A partir desses aspectos , foi possível contruir a CoWorkout, que não é apenas um espaço físico, mas uma arquitetura de vida profissional.</t>
  </si>
  <si>
    <t>2 Esteiras</t>
  </si>
  <si>
    <t>total</t>
  </si>
  <si>
    <t>Matrix</t>
  </si>
  <si>
    <t>Remo indoor</t>
  </si>
  <si>
    <t>Tech+Life+Matrix</t>
  </si>
  <si>
    <t>Projeto arquiteto</t>
  </si>
  <si>
    <t>HsTrabalhada (ano)</t>
  </si>
  <si>
    <t>R$ Total (ano)</t>
  </si>
  <si>
    <t>Obs: acima estamos considerando um cenário de 100% de ocupação de pessoas do mesmo plano dentro dos 12% previstos de oucpação da academia. Para batermos a meta de 2026 (R$ 13.777,00), precisamos de no mínimo 27,3% de professores plano bronze, o resto pode ser inteiro de professores plano diamante (pior cenário, com menor valor, de R$ 40,00,) e ainda atingiriamos esse valor. Desde que tenhamos 27,3% de professores plano bronze, os outros 72,7% podem ter qualquer proporção de ocupação entre prata, ouro e diamante.</t>
  </si>
  <si>
    <t>Descontos estratégicos (seguro vida, plano saúde)</t>
  </si>
  <si>
    <t>Desconto em cursos/eventos</t>
  </si>
  <si>
    <t xml:space="preserve">S </t>
  </si>
  <si>
    <t>Análise e definição do sistema</t>
  </si>
  <si>
    <t>Inicio</t>
  </si>
  <si>
    <t>MVP (sistema sem pagamento)</t>
  </si>
  <si>
    <t>Correções estruturais pós estresse</t>
  </si>
  <si>
    <t>MVP (Sistema com pagamento)</t>
  </si>
  <si>
    <t>Fase S (sistema)</t>
  </si>
  <si>
    <t>Publicação do App nos sistemas (IOS/Andr.)</t>
  </si>
  <si>
    <t>Correções finais pré-abertura</t>
  </si>
  <si>
    <t>Fase I (Imóvel)</t>
  </si>
  <si>
    <t>Definição dos critérios do imóvel</t>
  </si>
  <si>
    <t>Busca ativa por imóveis</t>
  </si>
  <si>
    <t>Visitas + análise técnica</t>
  </si>
  <si>
    <t>Abertura do CNPJ</t>
  </si>
  <si>
    <t>Inscrições fiscais/prefeitura</t>
  </si>
  <si>
    <t>Abertura de conta bancária PJ</t>
  </si>
  <si>
    <t>Contrato social societário definitivo</t>
  </si>
  <si>
    <t>Projeto arquitetônico + complementares</t>
  </si>
  <si>
    <r>
      <t xml:space="preserve">Definição da estrutura jurídica - CNAE/Regime tributário/Modelo de contrato de professores e alunos </t>
    </r>
    <r>
      <rPr>
        <b/>
        <sz val="11"/>
        <color theme="1"/>
        <rFont val="Aptos Narrow"/>
        <scheme val="minor"/>
      </rPr>
      <t>(Hugo presente nas reuniões)</t>
    </r>
  </si>
  <si>
    <t>Reforma completa do imóvel</t>
  </si>
  <si>
    <t>Pedido dos equipamentos</t>
  </si>
  <si>
    <t xml:space="preserve">Contratos </t>
  </si>
  <si>
    <t>Recebimento + instalação</t>
  </si>
  <si>
    <t>Fase II (Contábil e legal)</t>
  </si>
  <si>
    <t xml:space="preserve">Definição do objetivo e formato do evento </t>
  </si>
  <si>
    <t>Montar lista de personal trainers convidados</t>
  </si>
  <si>
    <t>Convites individuais/networking</t>
  </si>
  <si>
    <t>Confirmações e follow-up</t>
  </si>
  <si>
    <t>Definição do local do evento e reserva</t>
  </si>
  <si>
    <t>Decidir estrutura da apresentação</t>
  </si>
  <si>
    <t>Criação dos slides (deck oficial)</t>
  </si>
  <si>
    <t>Ensaio e ajustes finais</t>
  </si>
  <si>
    <t>Contratação dos patrocinadores + equipamentos</t>
  </si>
  <si>
    <t>Instalação e montagem dos equipamentos</t>
  </si>
  <si>
    <t>Evento de inauguração</t>
  </si>
  <si>
    <t>Abertura simbólica/soft oppening</t>
  </si>
  <si>
    <t>Offset</t>
  </si>
  <si>
    <t>offest</t>
  </si>
  <si>
    <t>offset</t>
  </si>
  <si>
    <t>Testes de estresse (versão sem pagamento)</t>
  </si>
  <si>
    <t>Testes de estresse (com pagamento)</t>
  </si>
  <si>
    <t>Feriados 2027</t>
  </si>
  <si>
    <t>Ano Novo</t>
  </si>
  <si>
    <t>Aniversário de SP</t>
  </si>
  <si>
    <t>Dia do trabalho</t>
  </si>
  <si>
    <t>N. Sra. Aparecida</t>
  </si>
  <si>
    <t>Procl. República</t>
  </si>
  <si>
    <t>Véspera ano niovo</t>
  </si>
  <si>
    <t>Rev. Constitucional</t>
  </si>
  <si>
    <t>Dias 2027</t>
  </si>
  <si>
    <t>Receita/mês (full capacity)</t>
  </si>
  <si>
    <t>Meses trabalhados</t>
  </si>
  <si>
    <t>R$/mês trabalhado</t>
  </si>
  <si>
    <t>Hora total funcionamento</t>
  </si>
  <si>
    <t>R$ Hora/prof (média)</t>
  </si>
  <si>
    <t>Feriados 2026 (Nov-Dez)</t>
  </si>
  <si>
    <t>Consciência negra</t>
  </si>
  <si>
    <t>Ano novo</t>
  </si>
  <si>
    <t>Domingo</t>
  </si>
  <si>
    <t>Receita/mês (full capacitu)</t>
  </si>
  <si>
    <t>Dias Trabalhado (média)</t>
  </si>
  <si>
    <t>HsTrabalhada (ano) (média)</t>
  </si>
  <si>
    <t>R$ Total (ano) (média)</t>
  </si>
  <si>
    <t xml:space="preserve">Meses trabalhados </t>
  </si>
  <si>
    <t>Média ano (28,29,30,31,32)</t>
  </si>
  <si>
    <t>Dias totais</t>
  </si>
  <si>
    <t>sábados</t>
  </si>
  <si>
    <t>Média</t>
  </si>
  <si>
    <t>Cenários dos anos e médias (info. GPT)</t>
  </si>
  <si>
    <t>Inestimento - Unidade 1 laboratório</t>
  </si>
  <si>
    <t xml:space="preserve">Equipamentos </t>
  </si>
  <si>
    <t>Reforma</t>
  </si>
  <si>
    <t>Contabilidade (maio-outubro 1800x5)</t>
  </si>
  <si>
    <t>Fase IV (obras)</t>
  </si>
  <si>
    <t>Fase V (equipamentos da academia)</t>
  </si>
  <si>
    <t>Fase VI (Evento de inauguração)</t>
  </si>
  <si>
    <t>Fase III (Branding e posicionamento)</t>
  </si>
  <si>
    <t>Seleção e contratação da agência</t>
  </si>
  <si>
    <t>Kickoff &amp; imersão estratégica</t>
  </si>
  <si>
    <t>Estratégias da marca</t>
  </si>
  <si>
    <t>Identidade visual</t>
  </si>
  <si>
    <t>Conexão com fase final do evento</t>
  </si>
  <si>
    <t>Direção visual para inauguração</t>
  </si>
  <si>
    <t>Variáveis do sistema</t>
  </si>
  <si>
    <t>Definições</t>
  </si>
  <si>
    <t>Va</t>
  </si>
  <si>
    <t>Fa</t>
  </si>
  <si>
    <t>Nm</t>
  </si>
  <si>
    <t>Vi</t>
  </si>
  <si>
    <t>Ai</t>
  </si>
  <si>
    <t>Fi</t>
  </si>
  <si>
    <t>Fee da CoWorkout/aula (definido pelo plano)</t>
  </si>
  <si>
    <t>Total de aula dadas/professor/mês (somando todos os alunos)</t>
  </si>
  <si>
    <t>Fee total da CoWorkout referente a esse aluno</t>
  </si>
  <si>
    <t>Valor líquido desejado por aula pelo professor</t>
  </si>
  <si>
    <t>Valor total pago por um aluno/mês</t>
  </si>
  <si>
    <t>Número de aulas desse aluno/mês</t>
  </si>
  <si>
    <t>Repasse líquido do professor por aluno</t>
  </si>
  <si>
    <t>(definido no início do ciclo mensal com base na agenda ativa do mês)</t>
  </si>
  <si>
    <t>Treino no local/sala descanso/sala reunião/kit higiene diário/sala para alimentação/indicação de alunos/acesso a curss e eventos/descontos com parceiros</t>
  </si>
  <si>
    <t>Custo fixo energia base</t>
  </si>
  <si>
    <t>Valor</t>
  </si>
  <si>
    <t>Parcela variável máxima (100% ocup.)</t>
  </si>
  <si>
    <t>Redução com automação</t>
  </si>
  <si>
    <t>Parcela fixa</t>
  </si>
  <si>
    <t>Parcela variável</t>
  </si>
  <si>
    <t>Energia total</t>
  </si>
  <si>
    <t>Energia</t>
  </si>
  <si>
    <t>Custo fixo mensal de água</t>
  </si>
  <si>
    <t>Água total</t>
  </si>
  <si>
    <t>Síntese</t>
  </si>
  <si>
    <t>Automação ArCond.</t>
  </si>
  <si>
    <t>Branding</t>
  </si>
  <si>
    <t>Arquit.</t>
  </si>
  <si>
    <t>Total Acumulado Ano 7</t>
  </si>
  <si>
    <t>Total Acumulado Ano 8</t>
  </si>
  <si>
    <t>-</t>
  </si>
  <si>
    <t>2032/2033</t>
  </si>
  <si>
    <t>2032/33</t>
  </si>
  <si>
    <t>Cartão 2032/33</t>
  </si>
  <si>
    <t>Cartão 2034</t>
  </si>
  <si>
    <t>Margem</t>
  </si>
  <si>
    <t>.4-40</t>
  </si>
  <si>
    <t>2 Rig Squat</t>
  </si>
  <si>
    <t>Fokus</t>
  </si>
  <si>
    <r>
      <t xml:space="preserve">Sistemas de seguranças </t>
    </r>
    <r>
      <rPr>
        <b/>
        <sz val="10"/>
        <color theme="1"/>
        <rFont val="Arial"/>
        <family val="2"/>
      </rPr>
      <t>(e Control ID)</t>
    </r>
  </si>
  <si>
    <t>Aluguel</t>
  </si>
  <si>
    <t>Folha</t>
  </si>
  <si>
    <t>Pró labore</t>
  </si>
  <si>
    <t>Ano 1</t>
  </si>
  <si>
    <t>Telefone/internet</t>
  </si>
  <si>
    <t>Materiais marketing</t>
  </si>
  <si>
    <t>Material escritório</t>
  </si>
  <si>
    <t>Limpeza/manutenção</t>
  </si>
  <si>
    <t>Contabilidade</t>
  </si>
  <si>
    <t>Serviços adminstrativos</t>
  </si>
  <si>
    <t>Seguro imóvel</t>
  </si>
  <si>
    <t>Sistemas de segurança</t>
  </si>
  <si>
    <t>Total custos fixos/mês</t>
  </si>
  <si>
    <t>Capacidade academia</t>
  </si>
  <si>
    <t>Dias/semana</t>
  </si>
  <si>
    <t>Horas/sábado</t>
  </si>
  <si>
    <t>Vagas/hora</t>
  </si>
  <si>
    <t>Capacidade aulas/mês</t>
  </si>
  <si>
    <t>Ocupação por ano</t>
  </si>
  <si>
    <t>Aulas vendidas/mês</t>
  </si>
  <si>
    <t>Preços dos planos</t>
  </si>
  <si>
    <t>Preço por aula</t>
  </si>
  <si>
    <t>Mix de vendas</t>
  </si>
  <si>
    <t>Mix de planos (estimado)</t>
  </si>
  <si>
    <t>Preço médio/aula</t>
  </si>
  <si>
    <t>Receita/mês</t>
  </si>
  <si>
    <t>Custos variáveis estimados</t>
  </si>
  <si>
    <t>Taxas cartão</t>
  </si>
  <si>
    <t>Impostos</t>
  </si>
  <si>
    <t>% de custos variáveis</t>
  </si>
  <si>
    <t xml:space="preserve">Receita mensal </t>
  </si>
  <si>
    <t>% Margem de contribuição</t>
  </si>
  <si>
    <t>Ponto de equilíbrio</t>
  </si>
  <si>
    <t>Aulas necessárias breakeven</t>
  </si>
  <si>
    <t>Unit economics ao ano</t>
  </si>
  <si>
    <t>Ano 2</t>
  </si>
  <si>
    <t>Ano 3</t>
  </si>
  <si>
    <t>Ano 4</t>
  </si>
  <si>
    <t>Ano 5</t>
  </si>
  <si>
    <t>% total variável</t>
  </si>
  <si>
    <t xml:space="preserve">Custos fixos mensais </t>
  </si>
  <si>
    <t xml:space="preserve">Custos variáveis mensais </t>
  </si>
  <si>
    <t>Kit Higiene</t>
  </si>
  <si>
    <t>Anos 2-7</t>
  </si>
  <si>
    <t>Ocupação necessária breakeven</t>
  </si>
  <si>
    <t>Ocupação alvo</t>
  </si>
  <si>
    <t>Premissas professores</t>
  </si>
  <si>
    <t>Aulas por aluno/semana</t>
  </si>
  <si>
    <t>Semanas por mês</t>
  </si>
  <si>
    <t>Alunos/professor - Pessimista</t>
  </si>
  <si>
    <t>Alunos/professor - Médio</t>
  </si>
  <si>
    <t>Alunos/professor - Otimista</t>
  </si>
  <si>
    <t>Aula/mês por professor - Médio</t>
  </si>
  <si>
    <t>Aula/mês por professor - Otimista</t>
  </si>
  <si>
    <t>Professores para Breakeven</t>
  </si>
  <si>
    <t>Pessimista</t>
  </si>
  <si>
    <t>Médio</t>
  </si>
  <si>
    <t>Otimista</t>
  </si>
  <si>
    <t>Professores para ocupação alvo</t>
  </si>
  <si>
    <t>Aula/mês por professor - Pessimista</t>
  </si>
  <si>
    <t>Aulas mensais alvo</t>
  </si>
  <si>
    <t>Aulas para ocupação alvo</t>
  </si>
  <si>
    <t xml:space="preserve">Pessimista </t>
  </si>
  <si>
    <t>Runway</t>
  </si>
  <si>
    <t>Caixa</t>
  </si>
  <si>
    <t>Burn rate médio mensal</t>
  </si>
  <si>
    <t>Dias úteis/ano</t>
  </si>
  <si>
    <t>Sábados/ano</t>
  </si>
  <si>
    <t>Horas úteis/ano</t>
  </si>
  <si>
    <t>Horas sábado/ano</t>
  </si>
  <si>
    <t>Capacidade aulas/ano úteis</t>
  </si>
  <si>
    <t>Capacidade aulas/ano sábado</t>
  </si>
  <si>
    <t>Capacidade aulas/ano total</t>
  </si>
  <si>
    <t>6 e 7</t>
  </si>
  <si>
    <t>Caixa (validação 12 meses)</t>
  </si>
  <si>
    <t>Período (meses)</t>
  </si>
  <si>
    <t>Caixa necessário</t>
  </si>
  <si>
    <t>Resultado médio mens.</t>
  </si>
  <si>
    <t>Ano 6/7</t>
  </si>
  <si>
    <t>Ano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</si>
</sst>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_-[$R$-416]\ * #,##0.00_-;\-[$R$-416]\ * #,##0.00_-;_-[$R$-416]\ * &quot;-&quot;??_-;_-@_-"/>
    <numFmt numFmtId="167" formatCode="&quot;R$&quot;\ #,##0.00"/>
    <numFmt numFmtId="168" formatCode="0.0%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7" tint="-0.249977111117893"/>
      <name val="Arial"/>
      <family val="2"/>
    </font>
    <font>
      <sz val="10"/>
      <color theme="7" tint="-0.249977111117893"/>
      <name val="Arial"/>
      <family val="2"/>
    </font>
    <font>
      <sz val="11"/>
      <color theme="7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0000"/>
      <name val="Aptos Narrow"/>
      <scheme val="minor"/>
    </font>
    <font>
      <b/>
      <sz val="12"/>
      <color theme="7" tint="-0.249977111117893"/>
      <name val="Aptos Narrow"/>
      <scheme val="minor"/>
    </font>
    <font>
      <sz val="11"/>
      <color rgb="FFFF0000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 wrapText="1"/>
    </xf>
    <xf numFmtId="4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4" fontId="5" fillId="0" borderId="0" xfId="0" applyNumberFormat="1" applyFont="1"/>
    <xf numFmtId="43" fontId="5" fillId="0" borderId="1" xfId="1" applyFont="1" applyBorder="1" applyAlignment="1">
      <alignment horizontal="right" wrapText="1"/>
    </xf>
    <xf numFmtId="43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5" fillId="0" borderId="1" xfId="0" applyNumberFormat="1" applyFont="1" applyBorder="1" applyAlignment="1">
      <alignment horizontal="right" wrapText="1"/>
    </xf>
    <xf numFmtId="43" fontId="2" fillId="0" borderId="1" xfId="1" applyFont="1" applyBorder="1" applyAlignment="1">
      <alignment horizontal="right" wrapText="1"/>
    </xf>
    <xf numFmtId="43" fontId="7" fillId="0" borderId="1" xfId="1" applyFont="1" applyBorder="1" applyAlignment="1">
      <alignment horizontal="right" wrapText="1"/>
    </xf>
    <xf numFmtId="43" fontId="5" fillId="0" borderId="1" xfId="1" quotePrefix="1" applyFont="1" applyBorder="1" applyAlignment="1">
      <alignment horizontal="right" wrapText="1"/>
    </xf>
    <xf numFmtId="43" fontId="5" fillId="3" borderId="1" xfId="1" applyFont="1" applyFill="1" applyBorder="1" applyAlignment="1">
      <alignment horizontal="right" wrapText="1"/>
    </xf>
    <xf numFmtId="10" fontId="5" fillId="0" borderId="1" xfId="2" applyNumberFormat="1" applyFont="1" applyBorder="1" applyAlignment="1">
      <alignment wrapText="1"/>
    </xf>
    <xf numFmtId="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8" fontId="0" fillId="0" borderId="0" xfId="0" applyNumberFormat="1"/>
    <xf numFmtId="8" fontId="0" fillId="0" borderId="0" xfId="1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3" fontId="11" fillId="0" borderId="0" xfId="1" applyFont="1"/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43" fontId="12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43" fontId="5" fillId="0" borderId="1" xfId="0" applyNumberFormat="1" applyFont="1" applyBorder="1" applyAlignment="1">
      <alignment wrapText="1"/>
    </xf>
    <xf numFmtId="10" fontId="2" fillId="0" borderId="1" xfId="2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3" fontId="0" fillId="0" borderId="0" xfId="1" applyFont="1" applyBorder="1"/>
    <xf numFmtId="43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43" fontId="0" fillId="0" borderId="10" xfId="1" applyFont="1" applyBorder="1"/>
    <xf numFmtId="0" fontId="0" fillId="0" borderId="10" xfId="0" applyBorder="1"/>
    <xf numFmtId="43" fontId="0" fillId="0" borderId="11" xfId="1" applyFont="1" applyBorder="1"/>
    <xf numFmtId="165" fontId="0" fillId="0" borderId="0" xfId="0" applyNumberFormat="1"/>
    <xf numFmtId="43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5" fillId="0" borderId="0" xfId="0" applyFont="1"/>
    <xf numFmtId="0" fontId="16" fillId="0" borderId="0" xfId="0" applyFont="1"/>
    <xf numFmtId="166" fontId="16" fillId="0" borderId="0" xfId="3" applyNumberFormat="1" applyFont="1" applyFill="1" applyBorder="1" applyAlignment="1"/>
    <xf numFmtId="0" fontId="18" fillId="0" borderId="0" xfId="0" applyFont="1"/>
    <xf numFmtId="166" fontId="0" fillId="0" borderId="0" xfId="3" applyNumberFormat="1" applyFont="1" applyFill="1" applyBorder="1" applyAlignment="1"/>
    <xf numFmtId="44" fontId="0" fillId="0" borderId="0" xfId="3" applyFont="1" applyFill="1" applyBorder="1" applyAlignment="1"/>
    <xf numFmtId="166" fontId="0" fillId="0" borderId="0" xfId="0" applyNumberFormat="1"/>
    <xf numFmtId="166" fontId="21" fillId="8" borderId="0" xfId="0" applyNumberFormat="1" applyFont="1" applyFill="1"/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43" fontId="0" fillId="0" borderId="2" xfId="1" applyFont="1" applyBorder="1" applyAlignment="1">
      <alignment horizontal="center"/>
    </xf>
    <xf numFmtId="0" fontId="22" fillId="0" borderId="0" xfId="0" applyFont="1"/>
    <xf numFmtId="9" fontId="0" fillId="0" borderId="2" xfId="0" applyNumberFormat="1" applyBorder="1"/>
    <xf numFmtId="0" fontId="22" fillId="0" borderId="19" xfId="0" applyFont="1" applyBorder="1" applyAlignment="1">
      <alignment horizontal="center"/>
    </xf>
    <xf numFmtId="43" fontId="0" fillId="0" borderId="20" xfId="0" applyNumberFormat="1" applyBorder="1"/>
    <xf numFmtId="0" fontId="22" fillId="0" borderId="21" xfId="0" applyFont="1" applyBorder="1" applyAlignment="1">
      <alignment horizontal="center"/>
    </xf>
    <xf numFmtId="0" fontId="0" fillId="0" borderId="22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1" applyNumberFormat="1" applyFont="1" applyBorder="1"/>
    <xf numFmtId="2" fontId="0" fillId="0" borderId="2" xfId="0" applyNumberFormat="1" applyBorder="1"/>
    <xf numFmtId="2" fontId="0" fillId="0" borderId="2" xfId="1" applyNumberFormat="1" applyFont="1" applyBorder="1"/>
    <xf numFmtId="43" fontId="0" fillId="0" borderId="20" xfId="1" applyFont="1" applyBorder="1"/>
    <xf numFmtId="0" fontId="0" fillId="0" borderId="2" xfId="0" applyBorder="1" applyAlignment="1">
      <alignment horizontal="right"/>
    </xf>
    <xf numFmtId="0" fontId="0" fillId="0" borderId="2" xfId="1" applyNumberFormat="1" applyFont="1" applyBorder="1" applyAlignment="1">
      <alignment horizontal="right"/>
    </xf>
    <xf numFmtId="9" fontId="0" fillId="0" borderId="22" xfId="0" applyNumberFormat="1" applyBorder="1"/>
    <xf numFmtId="43" fontId="0" fillId="0" borderId="23" xfId="1" applyFont="1" applyBorder="1"/>
    <xf numFmtId="43" fontId="0" fillId="0" borderId="12" xfId="0" applyNumberFormat="1" applyBorder="1"/>
    <xf numFmtId="0" fontId="22" fillId="0" borderId="2" xfId="0" applyFont="1" applyBorder="1"/>
    <xf numFmtId="0" fontId="24" fillId="10" borderId="2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/>
    <xf numFmtId="0" fontId="11" fillId="0" borderId="44" xfId="0" applyFont="1" applyBorder="1"/>
    <xf numFmtId="43" fontId="0" fillId="0" borderId="45" xfId="0" applyNumberFormat="1" applyBorder="1" applyAlignment="1">
      <alignment horizontal="center"/>
    </xf>
    <xf numFmtId="0" fontId="11" fillId="0" borderId="46" xfId="0" applyFont="1" applyBorder="1"/>
    <xf numFmtId="0" fontId="11" fillId="0" borderId="19" xfId="0" applyFont="1" applyBorder="1"/>
    <xf numFmtId="0" fontId="22" fillId="0" borderId="19" xfId="0" applyFont="1" applyBorder="1"/>
    <xf numFmtId="0" fontId="22" fillId="0" borderId="21" xfId="0" applyFont="1" applyBorder="1"/>
    <xf numFmtId="9" fontId="0" fillId="0" borderId="0" xfId="0" applyNumberFormat="1"/>
    <xf numFmtId="0" fontId="22" fillId="0" borderId="16" xfId="0" applyFont="1" applyBorder="1"/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3" fontId="0" fillId="0" borderId="0" xfId="0" applyNumberForma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44" fontId="0" fillId="0" borderId="2" xfId="3" applyFont="1" applyBorder="1"/>
    <xf numFmtId="44" fontId="0" fillId="0" borderId="20" xfId="3" applyFont="1" applyBorder="1"/>
    <xf numFmtId="9" fontId="0" fillId="0" borderId="3" xfId="0" applyNumberFormat="1" applyBorder="1"/>
    <xf numFmtId="0" fontId="0" fillId="0" borderId="3" xfId="0" applyBorder="1"/>
    <xf numFmtId="44" fontId="0" fillId="0" borderId="3" xfId="3" applyFont="1" applyBorder="1"/>
    <xf numFmtId="44" fontId="0" fillId="0" borderId="33" xfId="3" applyFont="1" applyBorder="1"/>
    <xf numFmtId="0" fontId="22" fillId="0" borderId="17" xfId="0" applyFont="1" applyBorder="1"/>
    <xf numFmtId="0" fontId="22" fillId="0" borderId="18" xfId="0" applyFont="1" applyBorder="1"/>
    <xf numFmtId="0" fontId="0" fillId="0" borderId="33" xfId="0" applyBorder="1"/>
    <xf numFmtId="0" fontId="0" fillId="0" borderId="18" xfId="0" applyBorder="1"/>
    <xf numFmtId="9" fontId="0" fillId="0" borderId="23" xfId="0" applyNumberFormat="1" applyBorder="1"/>
    <xf numFmtId="0" fontId="22" fillId="0" borderId="51" xfId="0" applyFont="1" applyBorder="1"/>
    <xf numFmtId="0" fontId="22" fillId="0" borderId="0" xfId="0" applyFont="1" applyAlignment="1">
      <alignment horizontal="center"/>
    </xf>
    <xf numFmtId="2" fontId="0" fillId="0" borderId="0" xfId="0" applyNumberFormat="1"/>
    <xf numFmtId="0" fontId="0" fillId="20" borderId="12" xfId="0" applyFill="1" applyBorder="1" applyAlignment="1">
      <alignment horizontal="center"/>
    </xf>
    <xf numFmtId="0" fontId="0" fillId="20" borderId="45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0" fillId="21" borderId="4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23" fillId="0" borderId="52" xfId="0" applyFont="1" applyBorder="1" applyAlignment="1">
      <alignment horizontal="left" vertical="center" wrapText="1"/>
    </xf>
    <xf numFmtId="166" fontId="20" fillId="3" borderId="0" xfId="0" applyNumberFormat="1" applyFont="1" applyFill="1"/>
    <xf numFmtId="44" fontId="21" fillId="8" borderId="0" xfId="0" applyNumberFormat="1" applyFont="1" applyFill="1"/>
    <xf numFmtId="8" fontId="5" fillId="0" borderId="1" xfId="0" applyNumberFormat="1" applyFont="1" applyBorder="1" applyAlignment="1">
      <alignment horizontal="right" wrapText="1"/>
    </xf>
    <xf numFmtId="0" fontId="22" fillId="3" borderId="0" xfId="0" applyFont="1" applyFill="1"/>
    <xf numFmtId="2" fontId="0" fillId="0" borderId="22" xfId="0" applyNumberFormat="1" applyBorder="1"/>
    <xf numFmtId="0" fontId="0" fillId="20" borderId="22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14" fontId="0" fillId="0" borderId="22" xfId="0" applyNumberFormat="1" applyBorder="1" applyAlignment="1">
      <alignment horizontal="center"/>
    </xf>
    <xf numFmtId="0" fontId="0" fillId="0" borderId="19" xfId="0" applyBorder="1" applyAlignment="1">
      <alignment horizontal="center" wrapText="1"/>
    </xf>
    <xf numFmtId="14" fontId="0" fillId="3" borderId="2" xfId="0" applyNumberFormat="1" applyFill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4" fontId="23" fillId="16" borderId="2" xfId="0" applyNumberFormat="1" applyFont="1" applyFill="1" applyBorder="1" applyAlignment="1">
      <alignment horizontal="center"/>
    </xf>
    <xf numFmtId="14" fontId="23" fillId="3" borderId="2" xfId="0" applyNumberFormat="1" applyFont="1" applyFill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14" fontId="23" fillId="3" borderId="22" xfId="0" applyNumberFormat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14" fontId="0" fillId="23" borderId="22" xfId="0" applyNumberFormat="1" applyFill="1" applyBorder="1" applyAlignment="1">
      <alignment horizontal="center"/>
    </xf>
    <xf numFmtId="0" fontId="22" fillId="0" borderId="58" xfId="0" applyFont="1" applyBorder="1" applyAlignment="1">
      <alignment horizontal="center"/>
    </xf>
    <xf numFmtId="14" fontId="22" fillId="0" borderId="34" xfId="0" applyNumberFormat="1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4" xfId="0" applyNumberFormat="1" applyBorder="1" applyAlignment="1">
      <alignment horizontal="center" vertical="center"/>
    </xf>
    <xf numFmtId="14" fontId="0" fillId="16" borderId="34" xfId="0" applyNumberFormat="1" applyFill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23" fillId="0" borderId="34" xfId="0" applyNumberFormat="1" applyFont="1" applyBorder="1" applyAlignment="1">
      <alignment horizontal="center"/>
    </xf>
    <xf numFmtId="14" fontId="23" fillId="23" borderId="59" xfId="0" applyNumberFormat="1" applyFont="1" applyFill="1" applyBorder="1" applyAlignment="1">
      <alignment horizontal="center"/>
    </xf>
    <xf numFmtId="0" fontId="22" fillId="0" borderId="53" xfId="0" applyFont="1" applyBorder="1" applyAlignment="1">
      <alignment horizontal="center"/>
    </xf>
    <xf numFmtId="14" fontId="22" fillId="0" borderId="22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" xfId="0" applyNumberFormat="1" applyBorder="1"/>
    <xf numFmtId="14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0" xfId="0" applyBorder="1"/>
    <xf numFmtId="0" fontId="22" fillId="0" borderId="56" xfId="0" applyFont="1" applyBorder="1"/>
    <xf numFmtId="0" fontId="22" fillId="0" borderId="53" xfId="0" applyFont="1" applyBorder="1"/>
    <xf numFmtId="0" fontId="22" fillId="0" borderId="61" xfId="0" applyFont="1" applyBorder="1"/>
    <xf numFmtId="0" fontId="0" fillId="0" borderId="36" xfId="0" applyBorder="1"/>
    <xf numFmtId="0" fontId="0" fillId="0" borderId="62" xfId="0" applyBorder="1"/>
    <xf numFmtId="0" fontId="22" fillId="0" borderId="20" xfId="0" applyFont="1" applyBorder="1"/>
    <xf numFmtId="1" fontId="0" fillId="0" borderId="0" xfId="0" applyNumberFormat="1"/>
    <xf numFmtId="43" fontId="0" fillId="0" borderId="28" xfId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1" applyNumberFormat="1" applyFont="1" applyBorder="1" applyAlignment="1">
      <alignment horizontal="center"/>
    </xf>
    <xf numFmtId="43" fontId="22" fillId="0" borderId="25" xfId="1" applyFon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25" xfId="0" applyBorder="1"/>
    <xf numFmtId="43" fontId="0" fillId="0" borderId="26" xfId="0" applyNumberFormat="1" applyBorder="1"/>
    <xf numFmtId="43" fontId="0" fillId="0" borderId="28" xfId="0" applyNumberFormat="1" applyBorder="1"/>
    <xf numFmtId="10" fontId="0" fillId="0" borderId="30" xfId="0" applyNumberFormat="1" applyBorder="1" applyAlignment="1">
      <alignment horizontal="center"/>
    </xf>
    <xf numFmtId="0" fontId="0" fillId="0" borderId="24" xfId="0" applyBorder="1"/>
    <xf numFmtId="14" fontId="0" fillId="0" borderId="25" xfId="0" applyNumberFormat="1" applyBorder="1"/>
    <xf numFmtId="0" fontId="11" fillId="0" borderId="25" xfId="0" applyFont="1" applyBorder="1" applyAlignment="1">
      <alignment horizontal="center" vertical="center"/>
    </xf>
    <xf numFmtId="14" fontId="0" fillId="0" borderId="26" xfId="0" applyNumberFormat="1" applyBorder="1"/>
    <xf numFmtId="0" fontId="0" fillId="0" borderId="27" xfId="0" applyBorder="1"/>
    <xf numFmtId="14" fontId="0" fillId="0" borderId="28" xfId="0" applyNumberFormat="1" applyBorder="1"/>
    <xf numFmtId="0" fontId="22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4" fontId="0" fillId="0" borderId="0" xfId="0" applyNumberFormat="1"/>
    <xf numFmtId="164" fontId="0" fillId="0" borderId="28" xfId="0" applyNumberFormat="1" applyBorder="1"/>
    <xf numFmtId="0" fontId="0" fillId="0" borderId="28" xfId="0" applyBorder="1"/>
    <xf numFmtId="165" fontId="11" fillId="0" borderId="0" xfId="1" applyNumberFormat="1" applyFont="1" applyBorder="1"/>
    <xf numFmtId="0" fontId="11" fillId="0" borderId="28" xfId="0" applyFont="1" applyBorder="1"/>
    <xf numFmtId="44" fontId="0" fillId="0" borderId="0" xfId="3" applyFont="1" applyBorder="1"/>
    <xf numFmtId="44" fontId="0" fillId="0" borderId="28" xfId="3" applyFont="1" applyBorder="1"/>
    <xf numFmtId="44" fontId="11" fillId="0" borderId="0" xfId="3" applyFont="1" applyBorder="1"/>
    <xf numFmtId="44" fontId="11" fillId="0" borderId="28" xfId="3" applyFont="1" applyBorder="1"/>
    <xf numFmtId="165" fontId="0" fillId="0" borderId="0" xfId="1" applyNumberFormat="1" applyFont="1" applyBorder="1"/>
    <xf numFmtId="165" fontId="0" fillId="0" borderId="28" xfId="1" applyNumberFormat="1" applyFont="1" applyBorder="1"/>
    <xf numFmtId="0" fontId="0" fillId="0" borderId="29" xfId="0" applyBorder="1"/>
    <xf numFmtId="44" fontId="11" fillId="0" borderId="30" xfId="3" applyFont="1" applyBorder="1"/>
    <xf numFmtId="44" fontId="0" fillId="0" borderId="30" xfId="3" applyFont="1" applyBorder="1"/>
    <xf numFmtId="44" fontId="11" fillId="0" borderId="31" xfId="3" applyFont="1" applyBorder="1"/>
    <xf numFmtId="0" fontId="22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8" fontId="5" fillId="0" borderId="1" xfId="1" applyNumberFormat="1" applyFont="1" applyBorder="1" applyAlignment="1">
      <alignment horizontal="right" wrapText="1"/>
    </xf>
    <xf numFmtId="4" fontId="0" fillId="0" borderId="0" xfId="0" applyNumberFormat="1"/>
    <xf numFmtId="2" fontId="28" fillId="0" borderId="0" xfId="0" applyNumberFormat="1" applyFont="1"/>
    <xf numFmtId="9" fontId="22" fillId="0" borderId="0" xfId="0" applyNumberFormat="1" applyFont="1"/>
    <xf numFmtId="0" fontId="5" fillId="0" borderId="1" xfId="3" applyNumberFormat="1" applyFont="1" applyBorder="1" applyAlignment="1">
      <alignment wrapText="1"/>
    </xf>
    <xf numFmtId="0" fontId="0" fillId="0" borderId="57" xfId="0" applyBorder="1"/>
    <xf numFmtId="9" fontId="0" fillId="0" borderId="37" xfId="0" applyNumberFormat="1" applyBorder="1"/>
    <xf numFmtId="0" fontId="0" fillId="0" borderId="37" xfId="0" applyBorder="1"/>
    <xf numFmtId="44" fontId="0" fillId="0" borderId="37" xfId="3" applyFont="1" applyBorder="1"/>
    <xf numFmtId="44" fontId="0" fillId="0" borderId="48" xfId="3" applyFont="1" applyBorder="1"/>
    <xf numFmtId="44" fontId="0" fillId="0" borderId="2" xfId="0" applyNumberFormat="1" applyBorder="1"/>
    <xf numFmtId="44" fontId="0" fillId="0" borderId="2" xfId="3" applyFont="1" applyFill="1" applyBorder="1"/>
    <xf numFmtId="0" fontId="22" fillId="0" borderId="14" xfId="0" applyFont="1" applyBorder="1" applyAlignment="1">
      <alignment horizontal="center"/>
    </xf>
    <xf numFmtId="14" fontId="23" fillId="21" borderId="34" xfId="0" applyNumberFormat="1" applyFont="1" applyFill="1" applyBorder="1" applyAlignment="1">
      <alignment horizontal="center"/>
    </xf>
    <xf numFmtId="14" fontId="0" fillId="21" borderId="2" xfId="0" applyNumberForma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/>
    </xf>
    <xf numFmtId="14" fontId="23" fillId="24" borderId="34" xfId="0" applyNumberFormat="1" applyFont="1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4" fontId="0" fillId="24" borderId="2" xfId="0" applyNumberFormat="1" applyFill="1" applyBorder="1" applyAlignment="1">
      <alignment horizontal="center"/>
    </xf>
    <xf numFmtId="14" fontId="0" fillId="5" borderId="22" xfId="0" applyNumberFormat="1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0" fontId="22" fillId="0" borderId="52" xfId="0" applyFont="1" applyBorder="1"/>
    <xf numFmtId="0" fontId="0" fillId="0" borderId="53" xfId="0" applyBorder="1"/>
    <xf numFmtId="0" fontId="0" fillId="23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3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3" applyNumberFormat="1" applyFont="1" applyBorder="1"/>
    <xf numFmtId="0" fontId="0" fillId="3" borderId="2" xfId="0" applyFill="1" applyBorder="1"/>
    <xf numFmtId="9" fontId="0" fillId="3" borderId="19" xfId="0" applyNumberFormat="1" applyFill="1" applyBorder="1"/>
    <xf numFmtId="0" fontId="0" fillId="3" borderId="20" xfId="0" applyFill="1" applyBorder="1"/>
    <xf numFmtId="0" fontId="0" fillId="3" borderId="23" xfId="0" applyFill="1" applyBorder="1"/>
    <xf numFmtId="9" fontId="0" fillId="0" borderId="19" xfId="0" applyNumberFormat="1" applyBorder="1"/>
    <xf numFmtId="9" fontId="0" fillId="0" borderId="21" xfId="0" applyNumberFormat="1" applyBorder="1"/>
    <xf numFmtId="0" fontId="22" fillId="25" borderId="52" xfId="0" applyFont="1" applyFill="1" applyBorder="1"/>
    <xf numFmtId="0" fontId="22" fillId="25" borderId="53" xfId="0" applyFont="1" applyFill="1" applyBorder="1"/>
    <xf numFmtId="0" fontId="22" fillId="25" borderId="56" xfId="0" applyFont="1" applyFill="1" applyBorder="1"/>
    <xf numFmtId="0" fontId="22" fillId="26" borderId="52" xfId="0" applyFont="1" applyFill="1" applyBorder="1"/>
    <xf numFmtId="0" fontId="22" fillId="26" borderId="53" xfId="0" applyFont="1" applyFill="1" applyBorder="1"/>
    <xf numFmtId="0" fontId="22" fillId="26" borderId="56" xfId="0" applyFont="1" applyFill="1" applyBorder="1"/>
    <xf numFmtId="9" fontId="0" fillId="0" borderId="0" xfId="2" applyFont="1"/>
    <xf numFmtId="8" fontId="5" fillId="3" borderId="1" xfId="1" applyNumberFormat="1" applyFont="1" applyFill="1" applyBorder="1" applyAlignment="1">
      <alignment horizontal="right" wrapText="1"/>
    </xf>
    <xf numFmtId="44" fontId="0" fillId="0" borderId="0" xfId="3" applyFont="1"/>
    <xf numFmtId="43" fontId="8" fillId="0" borderId="0" xfId="1" applyFont="1"/>
    <xf numFmtId="43" fontId="8" fillId="0" borderId="0" xfId="0" applyNumberFormat="1" applyFont="1"/>
    <xf numFmtId="4" fontId="7" fillId="0" borderId="0" xfId="0" applyNumberFormat="1" applyFont="1"/>
    <xf numFmtId="43" fontId="5" fillId="0" borderId="0" xfId="0" applyNumberFormat="1" applyFont="1"/>
    <xf numFmtId="10" fontId="5" fillId="0" borderId="66" xfId="2" applyNumberFormat="1" applyFont="1" applyFill="1" applyBorder="1" applyAlignment="1">
      <alignment wrapText="1"/>
    </xf>
    <xf numFmtId="4" fontId="4" fillId="0" borderId="66" xfId="0" applyNumberFormat="1" applyFont="1" applyBorder="1" applyAlignment="1">
      <alignment horizontal="center" wrapText="1"/>
    </xf>
    <xf numFmtId="43" fontId="2" fillId="0" borderId="66" xfId="0" applyNumberFormat="1" applyFont="1" applyBorder="1" applyAlignment="1">
      <alignment horizontal="right" wrapText="1"/>
    </xf>
    <xf numFmtId="43" fontId="5" fillId="0" borderId="66" xfId="1" applyFont="1" applyFill="1" applyBorder="1" applyAlignment="1">
      <alignment horizontal="right" wrapText="1"/>
    </xf>
    <xf numFmtId="43" fontId="5" fillId="0" borderId="66" xfId="1" applyFont="1" applyFill="1" applyBorder="1" applyAlignment="1">
      <alignment wrapText="1"/>
    </xf>
    <xf numFmtId="44" fontId="0" fillId="0" borderId="0" xfId="0" applyNumberFormat="1"/>
    <xf numFmtId="2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2" fillId="0" borderId="66" xfId="1" applyFont="1" applyFill="1" applyBorder="1" applyAlignment="1">
      <alignment horizontal="right" wrapText="1"/>
    </xf>
    <xf numFmtId="43" fontId="5" fillId="0" borderId="0" xfId="1" applyFont="1"/>
    <xf numFmtId="4" fontId="2" fillId="0" borderId="66" xfId="0" applyNumberFormat="1" applyFont="1" applyBorder="1" applyAlignment="1">
      <alignment horizontal="right" wrapText="1"/>
    </xf>
    <xf numFmtId="43" fontId="5" fillId="0" borderId="66" xfId="0" applyNumberFormat="1" applyFont="1" applyBorder="1" applyAlignment="1">
      <alignment horizontal="right" wrapText="1"/>
    </xf>
    <xf numFmtId="0" fontId="22" fillId="0" borderId="29" xfId="0" applyFont="1" applyBorder="1" applyAlignment="1">
      <alignment horizontal="center"/>
    </xf>
    <xf numFmtId="0" fontId="0" fillId="0" borderId="30" xfId="1" applyNumberFormat="1" applyFont="1" applyFill="1" applyBorder="1" applyAlignment="1">
      <alignment horizontal="center"/>
    </xf>
    <xf numFmtId="9" fontId="0" fillId="0" borderId="30" xfId="0" applyNumberFormat="1" applyBorder="1" applyAlignment="1">
      <alignment horizontal="center"/>
    </xf>
    <xf numFmtId="0" fontId="0" fillId="0" borderId="14" xfId="0" applyBorder="1"/>
    <xf numFmtId="0" fontId="0" fillId="0" borderId="60" xfId="0" applyBorder="1"/>
    <xf numFmtId="44" fontId="0" fillId="0" borderId="15" xfId="3" applyFont="1" applyFill="1" applyBorder="1"/>
    <xf numFmtId="4" fontId="4" fillId="0" borderId="0" xfId="0" applyNumberFormat="1" applyFont="1" applyAlignment="1">
      <alignment horizontal="center" wrapText="1"/>
    </xf>
    <xf numFmtId="43" fontId="2" fillId="0" borderId="0" xfId="0" applyNumberFormat="1" applyFont="1" applyAlignment="1">
      <alignment horizontal="right" wrapText="1"/>
    </xf>
    <xf numFmtId="0" fontId="22" fillId="26" borderId="32" xfId="0" applyFont="1" applyFill="1" applyBorder="1"/>
    <xf numFmtId="0" fontId="22" fillId="26" borderId="33" xfId="0" applyFont="1" applyFill="1" applyBorder="1"/>
    <xf numFmtId="0" fontId="0" fillId="0" borderId="19" xfId="0" applyBorder="1" applyAlignment="1">
      <alignment horizontal="right"/>
    </xf>
    <xf numFmtId="44" fontId="0" fillId="0" borderId="22" xfId="3" applyFont="1" applyFill="1" applyBorder="1"/>
    <xf numFmtId="44" fontId="0" fillId="0" borderId="23" xfId="3" applyFont="1" applyFill="1" applyBorder="1"/>
    <xf numFmtId="43" fontId="5" fillId="0" borderId="0" xfId="1" applyFont="1" applyFill="1" applyBorder="1" applyAlignment="1">
      <alignment horizontal="right" wrapText="1"/>
    </xf>
    <xf numFmtId="0" fontId="2" fillId="0" borderId="0" xfId="0" applyFont="1"/>
    <xf numFmtId="43" fontId="2" fillId="0" borderId="0" xfId="1" applyFont="1"/>
    <xf numFmtId="43" fontId="2" fillId="0" borderId="0" xfId="0" applyNumberFormat="1" applyFont="1"/>
    <xf numFmtId="43" fontId="2" fillId="0" borderId="0" xfId="1" applyFont="1" applyFill="1" applyBorder="1" applyAlignment="1">
      <alignment horizontal="right" wrapText="1"/>
    </xf>
    <xf numFmtId="0" fontId="0" fillId="0" borderId="29" xfId="0" applyBorder="1" applyAlignment="1">
      <alignment horizontal="center"/>
    </xf>
    <xf numFmtId="43" fontId="0" fillId="0" borderId="31" xfId="1" applyFont="1" applyBorder="1"/>
    <xf numFmtId="43" fontId="9" fillId="0" borderId="0" xfId="1" applyFont="1"/>
    <xf numFmtId="43" fontId="5" fillId="0" borderId="0" xfId="0" applyNumberFormat="1" applyFont="1" applyAlignment="1">
      <alignment horizontal="right" wrapText="1"/>
    </xf>
    <xf numFmtId="9" fontId="5" fillId="0" borderId="1" xfId="2" applyFont="1" applyBorder="1" applyAlignment="1">
      <alignment wrapText="1"/>
    </xf>
    <xf numFmtId="43" fontId="0" fillId="0" borderId="10" xfId="0" applyNumberFormat="1" applyBorder="1"/>
    <xf numFmtId="44" fontId="0" fillId="5" borderId="0" xfId="3" applyFont="1" applyFill="1"/>
    <xf numFmtId="0" fontId="22" fillId="10" borderId="0" xfId="0" applyFont="1" applyFill="1"/>
    <xf numFmtId="43" fontId="29" fillId="0" borderId="0" xfId="1" applyFont="1"/>
    <xf numFmtId="0" fontId="22" fillId="0" borderId="24" xfId="0" applyFont="1" applyBorder="1"/>
    <xf numFmtId="0" fontId="0" fillId="0" borderId="26" xfId="0" applyBorder="1"/>
    <xf numFmtId="10" fontId="0" fillId="0" borderId="28" xfId="0" applyNumberFormat="1" applyBorder="1"/>
    <xf numFmtId="9" fontId="0" fillId="0" borderId="28" xfId="0" applyNumberFormat="1" applyBorder="1"/>
    <xf numFmtId="0" fontId="22" fillId="0" borderId="29" xfId="0" applyFont="1" applyBorder="1"/>
    <xf numFmtId="3" fontId="22" fillId="0" borderId="30" xfId="0" applyNumberFormat="1" applyFont="1" applyBorder="1"/>
    <xf numFmtId="0" fontId="0" fillId="0" borderId="31" xfId="0" applyBorder="1"/>
    <xf numFmtId="165" fontId="0" fillId="0" borderId="0" xfId="1" applyNumberFormat="1" applyFont="1" applyFill="1" applyBorder="1"/>
    <xf numFmtId="0" fontId="22" fillId="0" borderId="28" xfId="0" applyFont="1" applyBorder="1"/>
    <xf numFmtId="165" fontId="0" fillId="0" borderId="28" xfId="1" applyNumberFormat="1" applyFont="1" applyFill="1" applyBorder="1"/>
    <xf numFmtId="3" fontId="22" fillId="0" borderId="31" xfId="0" applyNumberFormat="1" applyFont="1" applyBorder="1"/>
    <xf numFmtId="168" fontId="0" fillId="0" borderId="28" xfId="0" applyNumberFormat="1" applyBorder="1"/>
    <xf numFmtId="168" fontId="0" fillId="0" borderId="0" xfId="0" applyNumberFormat="1"/>
    <xf numFmtId="168" fontId="22" fillId="0" borderId="30" xfId="0" applyNumberFormat="1" applyFont="1" applyBorder="1"/>
    <xf numFmtId="10" fontId="22" fillId="0" borderId="31" xfId="0" applyNumberFormat="1" applyFont="1" applyBorder="1"/>
    <xf numFmtId="0" fontId="23" fillId="0" borderId="27" xfId="0" applyFont="1" applyBorder="1"/>
    <xf numFmtId="0" fontId="0" fillId="0" borderId="27" xfId="0" applyBorder="1" applyAlignment="1">
      <alignment horizontal="right"/>
    </xf>
    <xf numFmtId="43" fontId="0" fillId="0" borderId="28" xfId="1" applyFont="1" applyBorder="1"/>
    <xf numFmtId="9" fontId="0" fillId="0" borderId="30" xfId="0" applyNumberFormat="1" applyBorder="1"/>
    <xf numFmtId="0" fontId="22" fillId="0" borderId="27" xfId="0" applyFont="1" applyBorder="1"/>
    <xf numFmtId="9" fontId="0" fillId="0" borderId="0" xfId="2" applyFont="1" applyBorder="1"/>
    <xf numFmtId="0" fontId="22" fillId="0" borderId="25" xfId="0" applyFont="1" applyBorder="1"/>
    <xf numFmtId="0" fontId="30" fillId="0" borderId="27" xfId="0" applyFont="1" applyBorder="1"/>
    <xf numFmtId="165" fontId="0" fillId="0" borderId="28" xfId="0" applyNumberFormat="1" applyBorder="1"/>
    <xf numFmtId="9" fontId="0" fillId="0" borderId="30" xfId="2" applyFont="1" applyBorder="1"/>
    <xf numFmtId="9" fontId="0" fillId="0" borderId="31" xfId="2" applyFont="1" applyBorder="1"/>
    <xf numFmtId="168" fontId="0" fillId="0" borderId="0" xfId="2" applyNumberFormat="1" applyFont="1" applyBorder="1"/>
    <xf numFmtId="0" fontId="0" fillId="0" borderId="52" xfId="0" applyBorder="1"/>
    <xf numFmtId="43" fontId="0" fillId="0" borderId="23" xfId="0" applyNumberFormat="1" applyBorder="1"/>
    <xf numFmtId="0" fontId="22" fillId="0" borderId="31" xfId="0" applyFont="1" applyBorder="1"/>
    <xf numFmtId="0" fontId="23" fillId="0" borderId="0" xfId="0" applyFont="1"/>
    <xf numFmtId="4" fontId="0" fillId="0" borderId="23" xfId="0" applyNumberFormat="1" applyBorder="1"/>
    <xf numFmtId="43" fontId="12" fillId="0" borderId="0" xfId="1" applyFont="1"/>
    <xf numFmtId="43" fontId="14" fillId="0" borderId="0" xfId="1" applyFont="1"/>
    <xf numFmtId="16" fontId="0" fillId="0" borderId="27" xfId="0" applyNumberFormat="1" applyBorder="1" applyAlignment="1">
      <alignment horizontal="right"/>
    </xf>
    <xf numFmtId="0" fontId="0" fillId="0" borderId="29" xfId="0" applyBorder="1" applyAlignment="1">
      <alignment horizontal="right"/>
    </xf>
    <xf numFmtId="0" fontId="22" fillId="0" borderId="26" xfId="0" applyFont="1" applyBorder="1"/>
    <xf numFmtId="9" fontId="0" fillId="0" borderId="28" xfId="2" applyFont="1" applyFill="1" applyBorder="1"/>
    <xf numFmtId="0" fontId="22" fillId="0" borderId="52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53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3" applyFont="1" applyBorder="1" applyAlignment="1">
      <alignment horizontal="center"/>
    </xf>
    <xf numFmtId="44" fontId="0" fillId="0" borderId="34" xfId="3" applyFont="1" applyBorder="1" applyAlignment="1">
      <alignment horizontal="center"/>
    </xf>
    <xf numFmtId="44" fontId="0" fillId="0" borderId="36" xfId="3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4" xfId="0" applyBorder="1" applyAlignment="1">
      <alignment horizontal="center"/>
    </xf>
    <xf numFmtId="44" fontId="0" fillId="0" borderId="20" xfId="3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44" fontId="22" fillId="0" borderId="22" xfId="3" applyFont="1" applyBorder="1" applyAlignment="1">
      <alignment horizontal="center"/>
    </xf>
    <xf numFmtId="44" fontId="0" fillId="0" borderId="0" xfId="3" applyFont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44" fontId="0" fillId="5" borderId="15" xfId="3" applyFont="1" applyFill="1" applyBorder="1" applyAlignment="1">
      <alignment horizontal="center"/>
    </xf>
    <xf numFmtId="44" fontId="0" fillId="5" borderId="0" xfId="3" applyFont="1" applyFill="1" applyBorder="1" applyAlignment="1">
      <alignment horizontal="center"/>
    </xf>
    <xf numFmtId="44" fontId="0" fillId="5" borderId="14" xfId="3" applyFont="1" applyFill="1" applyBorder="1" applyAlignment="1">
      <alignment horizontal="center"/>
    </xf>
    <xf numFmtId="44" fontId="0" fillId="7" borderId="15" xfId="3" applyFont="1" applyFill="1" applyBorder="1" applyAlignment="1">
      <alignment horizontal="center"/>
    </xf>
    <xf numFmtId="44" fontId="0" fillId="7" borderId="14" xfId="3" applyFont="1" applyFill="1" applyBorder="1" applyAlignment="1">
      <alignment horizontal="center"/>
    </xf>
    <xf numFmtId="44" fontId="22" fillId="8" borderId="15" xfId="3" applyFont="1" applyFill="1" applyBorder="1" applyAlignment="1">
      <alignment horizontal="center"/>
    </xf>
    <xf numFmtId="44" fontId="22" fillId="8" borderId="14" xfId="3" applyFont="1" applyFill="1" applyBorder="1" applyAlignment="1">
      <alignment horizontal="center"/>
    </xf>
    <xf numFmtId="0" fontId="27" fillId="22" borderId="0" xfId="0" applyFont="1" applyFill="1" applyAlignment="1">
      <alignment horizontal="center" wrapText="1"/>
    </xf>
    <xf numFmtId="44" fontId="22" fillId="7" borderId="15" xfId="3" applyFont="1" applyFill="1" applyBorder="1" applyAlignment="1">
      <alignment horizontal="center"/>
    </xf>
    <xf numFmtId="44" fontId="22" fillId="7" borderId="14" xfId="3" applyFont="1" applyFill="1" applyBorder="1" applyAlignment="1">
      <alignment horizontal="center"/>
    </xf>
    <xf numFmtId="166" fontId="15" fillId="8" borderId="0" xfId="0" applyNumberFormat="1" applyFont="1" applyFill="1" applyAlignment="1">
      <alignment horizontal="right"/>
    </xf>
    <xf numFmtId="0" fontId="15" fillId="8" borderId="0" xfId="0" applyFont="1" applyFill="1" applyAlignment="1">
      <alignment horizontal="right"/>
    </xf>
    <xf numFmtId="0" fontId="15" fillId="8" borderId="14" xfId="0" applyFont="1" applyFill="1" applyBorder="1" applyAlignment="1">
      <alignment horizontal="right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14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14" xfId="0" applyFill="1" applyBorder="1" applyAlignment="1">
      <alignment horizontal="left"/>
    </xf>
    <xf numFmtId="44" fontId="0" fillId="7" borderId="0" xfId="3" applyFont="1" applyFill="1" applyBorder="1" applyAlignment="1">
      <alignment horizontal="right"/>
    </xf>
    <xf numFmtId="44" fontId="0" fillId="7" borderId="14" xfId="3" applyFont="1" applyFill="1" applyBorder="1" applyAlignment="1">
      <alignment horizontal="right"/>
    </xf>
    <xf numFmtId="44" fontId="0" fillId="5" borderId="0" xfId="3" applyFont="1" applyFill="1" applyBorder="1" applyAlignment="1">
      <alignment horizontal="right"/>
    </xf>
    <xf numFmtId="44" fontId="0" fillId="5" borderId="14" xfId="3" applyFont="1" applyFill="1" applyBorder="1" applyAlignment="1">
      <alignment horizontal="right"/>
    </xf>
    <xf numFmtId="166" fontId="0" fillId="7" borderId="0" xfId="0" applyNumberFormat="1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14" xfId="0" applyFill="1" applyBorder="1" applyAlignment="1">
      <alignment horizontal="right"/>
    </xf>
    <xf numFmtId="44" fontId="22" fillId="8" borderId="15" xfId="3" applyFont="1" applyFill="1" applyBorder="1" applyAlignment="1">
      <alignment horizontal="right"/>
    </xf>
    <xf numFmtId="44" fontId="22" fillId="8" borderId="0" xfId="3" applyFont="1" applyFill="1" applyBorder="1" applyAlignment="1">
      <alignment horizontal="right"/>
    </xf>
    <xf numFmtId="44" fontId="22" fillId="8" borderId="14" xfId="3" applyFont="1" applyFill="1" applyBorder="1" applyAlignment="1">
      <alignment horizontal="right"/>
    </xf>
    <xf numFmtId="44" fontId="23" fillId="5" borderId="15" xfId="3" applyFont="1" applyFill="1" applyBorder="1" applyAlignment="1">
      <alignment horizontal="right"/>
    </xf>
    <xf numFmtId="44" fontId="23" fillId="5" borderId="0" xfId="3" applyFont="1" applyFill="1" applyBorder="1" applyAlignment="1">
      <alignment horizontal="right"/>
    </xf>
    <xf numFmtId="44" fontId="23" fillId="5" borderId="14" xfId="3" applyFont="1" applyFill="1" applyBorder="1" applyAlignment="1">
      <alignment horizontal="right"/>
    </xf>
    <xf numFmtId="44" fontId="23" fillId="7" borderId="15" xfId="3" applyFont="1" applyFill="1" applyBorder="1" applyAlignment="1">
      <alignment horizontal="right"/>
    </xf>
    <xf numFmtId="44" fontId="23" fillId="7" borderId="0" xfId="3" applyFont="1" applyFill="1" applyBorder="1" applyAlignment="1">
      <alignment horizontal="right"/>
    </xf>
    <xf numFmtId="44" fontId="23" fillId="7" borderId="14" xfId="3" applyFont="1" applyFill="1" applyBorder="1" applyAlignment="1">
      <alignment horizontal="right"/>
    </xf>
    <xf numFmtId="0" fontId="16" fillId="5" borderId="0" xfId="0" applyFont="1" applyFill="1" applyAlignment="1">
      <alignment horizontal="left"/>
    </xf>
    <xf numFmtId="0" fontId="16" fillId="5" borderId="14" xfId="0" applyFont="1" applyFill="1" applyBorder="1" applyAlignment="1">
      <alignment horizontal="left"/>
    </xf>
    <xf numFmtId="44" fontId="0" fillId="5" borderId="15" xfId="3" applyFont="1" applyFill="1" applyBorder="1" applyAlignment="1">
      <alignment horizontal="right"/>
    </xf>
    <xf numFmtId="166" fontId="0" fillId="7" borderId="15" xfId="0" applyNumberFormat="1" applyFill="1" applyBorder="1" applyAlignment="1">
      <alignment horizontal="right"/>
    </xf>
    <xf numFmtId="166" fontId="0" fillId="5" borderId="15" xfId="3" applyNumberFormat="1" applyFont="1" applyFill="1" applyBorder="1" applyAlignment="1">
      <alignment horizontal="right"/>
    </xf>
    <xf numFmtId="166" fontId="0" fillId="5" borderId="0" xfId="3" applyNumberFormat="1" applyFont="1" applyFill="1" applyBorder="1" applyAlignment="1">
      <alignment horizontal="right"/>
    </xf>
    <xf numFmtId="166" fontId="0" fillId="5" borderId="14" xfId="3" applyNumberFormat="1" applyFont="1" applyFill="1" applyBorder="1" applyAlignment="1">
      <alignment horizontal="right"/>
    </xf>
    <xf numFmtId="166" fontId="0" fillId="5" borderId="0" xfId="0" applyNumberFormat="1" applyFill="1" applyAlignment="1">
      <alignment horizontal="right"/>
    </xf>
    <xf numFmtId="166" fontId="0" fillId="5" borderId="14" xfId="0" applyNumberFormat="1" applyFill="1" applyBorder="1" applyAlignment="1">
      <alignment horizontal="right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5" fillId="13" borderId="14" xfId="0" applyFont="1" applyFill="1" applyBorder="1" applyAlignment="1">
      <alignment horizontal="center"/>
    </xf>
    <xf numFmtId="44" fontId="0" fillId="7" borderId="15" xfId="3" applyFont="1" applyFill="1" applyBorder="1" applyAlignment="1">
      <alignment horizontal="right"/>
    </xf>
    <xf numFmtId="0" fontId="15" fillId="17" borderId="0" xfId="0" applyFont="1" applyFill="1" applyAlignment="1">
      <alignment horizontal="center"/>
    </xf>
    <xf numFmtId="0" fontId="15" fillId="17" borderId="14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1" borderId="14" xfId="0" applyFont="1" applyFill="1" applyBorder="1" applyAlignment="1">
      <alignment horizontal="center"/>
    </xf>
    <xf numFmtId="166" fontId="15" fillId="8" borderId="15" xfId="0" applyNumberFormat="1" applyFont="1" applyFill="1" applyBorder="1" applyAlignment="1">
      <alignment horizontal="right"/>
    </xf>
    <xf numFmtId="166" fontId="15" fillId="8" borderId="0" xfId="0" applyNumberFormat="1" applyFont="1" applyFill="1" applyAlignment="1">
      <alignment horizontal="center"/>
    </xf>
    <xf numFmtId="166" fontId="15" fillId="8" borderId="14" xfId="0" applyNumberFormat="1" applyFont="1" applyFill="1" applyBorder="1" applyAlignment="1">
      <alignment horizontal="center"/>
    </xf>
    <xf numFmtId="166" fontId="0" fillId="5" borderId="15" xfId="0" applyNumberFormat="1" applyFill="1" applyBorder="1" applyAlignment="1">
      <alignment horizontal="right"/>
    </xf>
    <xf numFmtId="0" fontId="22" fillId="18" borderId="0" xfId="0" applyFont="1" applyFill="1" applyAlignment="1">
      <alignment horizontal="center"/>
    </xf>
    <xf numFmtId="0" fontId="22" fillId="18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center"/>
    </xf>
    <xf numFmtId="166" fontId="0" fillId="5" borderId="0" xfId="3" applyNumberFormat="1" applyFont="1" applyFill="1" applyBorder="1" applyAlignment="1">
      <alignment horizontal="center"/>
    </xf>
    <xf numFmtId="166" fontId="0" fillId="5" borderId="14" xfId="3" applyNumberFormat="1" applyFont="1" applyFill="1" applyBorder="1" applyAlignment="1">
      <alignment horizontal="center"/>
    </xf>
    <xf numFmtId="44" fontId="0" fillId="7" borderId="0" xfId="3" applyFont="1" applyFill="1" applyAlignment="1">
      <alignment horizontal="center"/>
    </xf>
    <xf numFmtId="166" fontId="0" fillId="5" borderId="15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14" xfId="0" applyNumberFormat="1" applyFill="1" applyBorder="1" applyAlignment="1">
      <alignment horizontal="center"/>
    </xf>
    <xf numFmtId="44" fontId="0" fillId="7" borderId="0" xfId="3" applyFont="1" applyFill="1" applyBorder="1" applyAlignment="1">
      <alignment horizontal="center"/>
    </xf>
    <xf numFmtId="166" fontId="0" fillId="7" borderId="15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44" fontId="15" fillId="8" borderId="15" xfId="3" applyFont="1" applyFill="1" applyBorder="1" applyAlignment="1">
      <alignment horizontal="right"/>
    </xf>
    <xf numFmtId="44" fontId="15" fillId="8" borderId="0" xfId="3" applyFont="1" applyFill="1" applyBorder="1" applyAlignment="1">
      <alignment horizontal="right"/>
    </xf>
    <xf numFmtId="44" fontId="15" fillId="8" borderId="14" xfId="3" applyFont="1" applyFill="1" applyBorder="1" applyAlignment="1">
      <alignment horizontal="right"/>
    </xf>
    <xf numFmtId="0" fontId="15" fillId="0" borderId="0" xfId="0" applyFont="1" applyAlignment="1">
      <alignment horizontal="center" vertical="center" wrapText="1"/>
    </xf>
    <xf numFmtId="0" fontId="15" fillId="14" borderId="15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4" xfId="0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7" fillId="9" borderId="14" xfId="0" applyFont="1" applyFill="1" applyBorder="1" applyAlignment="1">
      <alignment horizontal="center"/>
    </xf>
    <xf numFmtId="0" fontId="22" fillId="15" borderId="15" xfId="0" applyFont="1" applyFill="1" applyBorder="1" applyAlignment="1">
      <alignment horizontal="center"/>
    </xf>
    <xf numFmtId="0" fontId="22" fillId="15" borderId="0" xfId="0" applyFont="1" applyFill="1" applyAlignment="1">
      <alignment horizontal="center"/>
    </xf>
    <xf numFmtId="0" fontId="22" fillId="15" borderId="14" xfId="0" applyFont="1" applyFill="1" applyBorder="1" applyAlignment="1">
      <alignment horizontal="center"/>
    </xf>
    <xf numFmtId="0" fontId="22" fillId="13" borderId="15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0" fontId="22" fillId="13" borderId="14" xfId="0" applyFont="1" applyFill="1" applyBorder="1" applyAlignment="1">
      <alignment horizontal="center"/>
    </xf>
    <xf numFmtId="44" fontId="0" fillId="19" borderId="15" xfId="3" applyFont="1" applyFill="1" applyBorder="1" applyAlignment="1">
      <alignment horizontal="right"/>
    </xf>
    <xf numFmtId="44" fontId="0" fillId="19" borderId="0" xfId="3" applyFont="1" applyFill="1" applyBorder="1" applyAlignment="1">
      <alignment horizontal="right"/>
    </xf>
    <xf numFmtId="44" fontId="0" fillId="19" borderId="14" xfId="3" applyFont="1" applyFill="1" applyBorder="1" applyAlignment="1">
      <alignment horizontal="right"/>
    </xf>
    <xf numFmtId="0" fontId="15" fillId="1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14" xfId="0" applyFont="1" applyFill="1" applyBorder="1" applyAlignment="1">
      <alignment horizontal="center"/>
    </xf>
    <xf numFmtId="0" fontId="22" fillId="16" borderId="15" xfId="0" applyFont="1" applyFill="1" applyBorder="1" applyAlignment="1">
      <alignment horizontal="center"/>
    </xf>
    <xf numFmtId="0" fontId="22" fillId="16" borderId="14" xfId="0" applyFont="1" applyFill="1" applyBorder="1" applyAlignment="1">
      <alignment horizontal="center"/>
    </xf>
    <xf numFmtId="44" fontId="0" fillId="3" borderId="0" xfId="3" applyFont="1" applyFill="1" applyBorder="1" applyAlignment="1">
      <alignment horizontal="right"/>
    </xf>
    <xf numFmtId="44" fontId="0" fillId="3" borderId="14" xfId="3" applyFont="1" applyFill="1" applyBorder="1" applyAlignment="1">
      <alignment horizontal="right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23" fillId="5" borderId="15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23" fillId="5" borderId="14" xfId="0" applyFont="1" applyFill="1" applyBorder="1" applyAlignment="1">
      <alignment horizontal="left"/>
    </xf>
    <xf numFmtId="0" fontId="23" fillId="7" borderId="0" xfId="0" applyFont="1" applyFill="1" applyAlignment="1">
      <alignment horizontal="left"/>
    </xf>
    <xf numFmtId="0" fontId="23" fillId="7" borderId="14" xfId="0" applyFont="1" applyFill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22" fillId="0" borderId="2" xfId="0" applyFont="1" applyBorder="1" applyAlignment="1">
      <alignment horizontal="center" vertical="center"/>
    </xf>
    <xf numFmtId="0" fontId="22" fillId="5" borderId="2" xfId="0" applyFont="1" applyFill="1" applyBorder="1" applyAlignment="1">
      <alignment horizontal="center"/>
    </xf>
    <xf numFmtId="0" fontId="22" fillId="7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1" fillId="0" borderId="54" xfId="0" applyFont="1" applyBorder="1" applyAlignment="1">
      <alignment horizontal="left" vertical="top" wrapText="1"/>
    </xf>
    <xf numFmtId="0" fontId="11" fillId="0" borderId="55" xfId="0" applyFont="1" applyBorder="1" applyAlignment="1">
      <alignment horizontal="left" vertical="top" wrapText="1"/>
    </xf>
    <xf numFmtId="0" fontId="0" fillId="20" borderId="3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47" xfId="0" applyFill="1" applyBorder="1" applyAlignment="1">
      <alignment horizontal="center" vertical="center"/>
    </xf>
    <xf numFmtId="0" fontId="0" fillId="20" borderId="43" xfId="0" applyFill="1" applyBorder="1" applyAlignment="1">
      <alignment horizontal="center" vertical="center"/>
    </xf>
    <xf numFmtId="0" fontId="22" fillId="0" borderId="57" xfId="0" applyFont="1" applyBorder="1" applyAlignment="1">
      <alignment horizontal="left" vertical="top" wrapText="1"/>
    </xf>
    <xf numFmtId="0" fontId="22" fillId="0" borderId="42" xfId="0" applyFont="1" applyBorder="1" applyAlignment="1">
      <alignment horizontal="left" vertical="top" wrapText="1"/>
    </xf>
    <xf numFmtId="0" fontId="0" fillId="20" borderId="37" xfId="0" applyFill="1" applyBorder="1" applyAlignment="1">
      <alignment horizontal="center" vertical="center"/>
    </xf>
    <xf numFmtId="0" fontId="0" fillId="21" borderId="48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0" fillId="0" borderId="5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167" fontId="23" fillId="0" borderId="2" xfId="3" applyNumberFormat="1" applyFont="1" applyBorder="1" applyAlignment="1">
      <alignment horizontal="center"/>
    </xf>
    <xf numFmtId="167" fontId="0" fillId="3" borderId="34" xfId="0" applyNumberFormat="1" applyFill="1" applyBorder="1" applyAlignment="1">
      <alignment horizontal="center"/>
    </xf>
    <xf numFmtId="167" fontId="0" fillId="3" borderId="36" xfId="0" applyNumberFormat="1" applyFill="1" applyBorder="1" applyAlignment="1">
      <alignment horizontal="center"/>
    </xf>
    <xf numFmtId="167" fontId="22" fillId="0" borderId="2" xfId="0" applyNumberFormat="1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3" borderId="34" xfId="0" applyFont="1" applyFill="1" applyBorder="1" applyAlignment="1">
      <alignment horizontal="center"/>
    </xf>
    <xf numFmtId="0" fontId="22" fillId="3" borderId="35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3" applyNumberFormat="1" applyFon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167" fontId="0" fillId="0" borderId="2" xfId="3" applyNumberFormat="1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22" fillId="5" borderId="2" xfId="0" applyFont="1" applyFill="1" applyBorder="1" applyAlignment="1">
      <alignment horizontal="lef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FF99"/>
      <color rgb="FFFF5B5B"/>
      <color rgb="FFFFCC00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214148</xdr:colOff>
      <xdr:row>24</xdr:row>
      <xdr:rowOff>31386</xdr:rowOff>
    </xdr:to>
    <xdr:pic>
      <xdr:nvPicPr>
        <xdr:cNvPr id="2" name="Imagem 1" descr="Forms response chart. Question title: Quantas aulas presenciais você costuma ministrar, em média, por mês?. Number of responses: 30 responses.">
          <a:extLst>
            <a:ext uri="{FF2B5EF4-FFF2-40B4-BE49-F238E27FC236}">
              <a16:creationId xmlns:a16="http://schemas.microsoft.com/office/drawing/2014/main" id="{BD8F0043-7FE2-431B-B93E-AFFB3750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5014748" cy="2384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666418</xdr:colOff>
      <xdr:row>10</xdr:row>
      <xdr:rowOff>150993</xdr:rowOff>
    </xdr:from>
    <xdr:to>
      <xdr:col>14</xdr:col>
      <xdr:colOff>657223</xdr:colOff>
      <xdr:row>23</xdr:row>
      <xdr:rowOff>76199</xdr:rowOff>
    </xdr:to>
    <xdr:pic>
      <xdr:nvPicPr>
        <xdr:cNvPr id="3" name="Imagem 2" descr="Forms response chart. Question title: Em um dia cheio da sua agenda, quantas aulas você costuma ministrar?. Number of responses: 30 responses.">
          <a:extLst>
            <a:ext uri="{FF2B5EF4-FFF2-40B4-BE49-F238E27FC236}">
              <a16:creationId xmlns:a16="http://schemas.microsoft.com/office/drawing/2014/main" id="{B58CBDDB-6A6F-4AF4-A82A-4D91EF09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018" y="1960743"/>
          <a:ext cx="4791405" cy="227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680873</xdr:colOff>
      <xdr:row>9</xdr:row>
      <xdr:rowOff>171449</xdr:rowOff>
    </xdr:from>
    <xdr:to>
      <xdr:col>23</xdr:col>
      <xdr:colOff>285750</xdr:colOff>
      <xdr:row>23</xdr:row>
      <xdr:rowOff>58242</xdr:rowOff>
    </xdr:to>
    <xdr:pic>
      <xdr:nvPicPr>
        <xdr:cNvPr id="4" name="Imagem 3" descr="Forms response chart. Question title: Em um dia vazio da sua agenda, quantas aulas você costuma dar?. Number of responses: 30 responses.">
          <a:extLst>
            <a:ext uri="{FF2B5EF4-FFF2-40B4-BE49-F238E27FC236}">
              <a16:creationId xmlns:a16="http://schemas.microsoft.com/office/drawing/2014/main" id="{0D376463-74F5-4CAE-8855-231C2759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873" y="1800224"/>
          <a:ext cx="5091277" cy="242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352425</xdr:colOff>
      <xdr:row>39</xdr:row>
      <xdr:rowOff>161926</xdr:rowOff>
    </xdr:from>
    <xdr:to>
      <xdr:col>16</xdr:col>
      <xdr:colOff>400050</xdr:colOff>
      <xdr:row>56</xdr:row>
      <xdr:rowOff>126742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9A12F7-C413-493C-BC73-1C5539E7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7334251"/>
          <a:ext cx="4848225" cy="3060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4%20-%20Lab%20e%20unidades/Or&#231;amento%2014.0%20-%20Segunda%20unida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46966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3">
          <cell r="B63">
            <v>46342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BDB-DC1D-4C53-A23F-646103A214BD}">
  <dimension ref="A1:DG1003"/>
  <sheetViews>
    <sheetView topLeftCell="CU23" zoomScale="80" zoomScaleNormal="80" workbookViewId="0">
      <selection activeCell="A26" sqref="A26:XFD26"/>
    </sheetView>
  </sheetViews>
  <sheetFormatPr defaultRowHeight="14.25"/>
  <cols>
    <col min="2" max="2" width="48.25" customWidth="1"/>
    <col min="3" max="19" width="14" customWidth="1"/>
    <col min="20" max="20" width="15.375" bestFit="1" customWidth="1"/>
    <col min="21" max="32" width="14" customWidth="1"/>
    <col min="33" max="33" width="15.875" customWidth="1"/>
    <col min="34" max="45" width="14" customWidth="1"/>
    <col min="46" max="46" width="15.375" bestFit="1" customWidth="1"/>
    <col min="47" max="58" width="14" customWidth="1"/>
    <col min="59" max="59" width="15.375" bestFit="1" customWidth="1"/>
    <col min="60" max="71" width="14" customWidth="1"/>
    <col min="72" max="72" width="16" customWidth="1"/>
    <col min="73" max="84" width="14" bestFit="1" customWidth="1"/>
    <col min="85" max="85" width="16" bestFit="1" customWidth="1"/>
    <col min="86" max="86" width="15.25" bestFit="1" customWidth="1"/>
    <col min="87" max="88" width="14.125" bestFit="1" customWidth="1"/>
    <col min="89" max="89" width="15.625" bestFit="1" customWidth="1"/>
    <col min="90" max="97" width="14.125" bestFit="1" customWidth="1"/>
    <col min="98" max="98" width="12.75" bestFit="1" customWidth="1"/>
    <col min="99" max="110" width="15.125" bestFit="1" customWidth="1"/>
    <col min="111" max="111" width="14" bestFit="1" customWidth="1"/>
  </cols>
  <sheetData>
    <row r="1" spans="1:111" ht="39" thickBot="1">
      <c r="A1" s="1" t="s">
        <v>0</v>
      </c>
      <c r="B1" s="2" t="s">
        <v>1</v>
      </c>
      <c r="C1" s="3">
        <v>46235</v>
      </c>
      <c r="D1" s="3">
        <v>46266</v>
      </c>
      <c r="E1" s="3">
        <v>46296</v>
      </c>
      <c r="F1" s="3">
        <v>46327</v>
      </c>
      <c r="G1" s="3">
        <v>46357</v>
      </c>
      <c r="H1" s="3">
        <v>46388</v>
      </c>
      <c r="I1" s="3">
        <v>46419</v>
      </c>
      <c r="J1" s="3">
        <v>46447</v>
      </c>
      <c r="K1" s="3">
        <v>46478</v>
      </c>
      <c r="L1" s="3">
        <v>46508</v>
      </c>
      <c r="M1" s="3">
        <v>46539</v>
      </c>
      <c r="N1" s="3">
        <v>46569</v>
      </c>
      <c r="O1" s="3">
        <v>46600</v>
      </c>
      <c r="P1" s="3">
        <v>46631</v>
      </c>
      <c r="Q1" s="3">
        <v>46661</v>
      </c>
      <c r="R1" s="3">
        <v>46692</v>
      </c>
      <c r="S1" s="3">
        <v>46722</v>
      </c>
      <c r="T1" s="4" t="s">
        <v>2</v>
      </c>
      <c r="U1" s="3">
        <v>46753</v>
      </c>
      <c r="V1" s="3">
        <v>46784</v>
      </c>
      <c r="W1" s="3">
        <v>46813</v>
      </c>
      <c r="X1" s="3">
        <v>46844</v>
      </c>
      <c r="Y1" s="3">
        <v>46874</v>
      </c>
      <c r="Z1" s="3">
        <v>46905</v>
      </c>
      <c r="AA1" s="3">
        <v>46935</v>
      </c>
      <c r="AB1" s="3">
        <v>46966</v>
      </c>
      <c r="AC1" s="3">
        <v>46997</v>
      </c>
      <c r="AD1" s="3">
        <v>47027</v>
      </c>
      <c r="AE1" s="3">
        <v>47058</v>
      </c>
      <c r="AF1" s="3">
        <v>47088</v>
      </c>
      <c r="AG1" s="4" t="s">
        <v>3</v>
      </c>
      <c r="AH1" s="3">
        <v>47119</v>
      </c>
      <c r="AI1" s="3">
        <v>47150</v>
      </c>
      <c r="AJ1" s="3">
        <v>47178</v>
      </c>
      <c r="AK1" s="3">
        <v>47209</v>
      </c>
      <c r="AL1" s="3">
        <v>47239</v>
      </c>
      <c r="AM1" s="3">
        <v>47270</v>
      </c>
      <c r="AN1" s="3">
        <v>47300</v>
      </c>
      <c r="AO1" s="3">
        <v>47331</v>
      </c>
      <c r="AP1" s="3">
        <v>47362</v>
      </c>
      <c r="AQ1" s="3">
        <v>47392</v>
      </c>
      <c r="AR1" s="3">
        <v>47423</v>
      </c>
      <c r="AS1" s="3">
        <v>47453</v>
      </c>
      <c r="AT1" s="4" t="s">
        <v>198</v>
      </c>
      <c r="AU1" s="3">
        <v>47484</v>
      </c>
      <c r="AV1" s="3">
        <v>47515</v>
      </c>
      <c r="AW1" s="3">
        <v>47543</v>
      </c>
      <c r="AX1" s="3">
        <v>47574</v>
      </c>
      <c r="AY1" s="3">
        <v>47604</v>
      </c>
      <c r="AZ1" s="3">
        <v>47635</v>
      </c>
      <c r="BA1" s="3">
        <v>47665</v>
      </c>
      <c r="BB1" s="3">
        <v>47696</v>
      </c>
      <c r="BC1" s="3">
        <v>47727</v>
      </c>
      <c r="BD1" s="3">
        <v>47757</v>
      </c>
      <c r="BE1" s="3">
        <v>47788</v>
      </c>
      <c r="BF1" s="3">
        <v>47818</v>
      </c>
      <c r="BG1" s="4" t="s">
        <v>391</v>
      </c>
      <c r="BH1" s="3">
        <v>47849</v>
      </c>
      <c r="BI1" s="3">
        <v>47880</v>
      </c>
      <c r="BJ1" s="3">
        <v>47908</v>
      </c>
      <c r="BK1" s="3">
        <v>47939</v>
      </c>
      <c r="BL1" s="3">
        <v>47969</v>
      </c>
      <c r="BM1" s="3">
        <v>48000</v>
      </c>
      <c r="BN1" s="3">
        <v>48030</v>
      </c>
      <c r="BO1" s="3">
        <v>48061</v>
      </c>
      <c r="BP1" s="3">
        <v>48092</v>
      </c>
      <c r="BQ1" s="3">
        <v>48122</v>
      </c>
      <c r="BR1" s="3">
        <v>48153</v>
      </c>
      <c r="BS1" s="3">
        <v>48183</v>
      </c>
      <c r="BT1" s="4" t="s">
        <v>392</v>
      </c>
      <c r="BU1" s="3">
        <v>48214</v>
      </c>
      <c r="BV1" s="3">
        <v>48245</v>
      </c>
      <c r="BW1" s="3">
        <v>48274</v>
      </c>
      <c r="BX1" s="3">
        <v>48305</v>
      </c>
      <c r="BY1" s="3">
        <v>48335</v>
      </c>
      <c r="BZ1" s="3">
        <v>48366</v>
      </c>
      <c r="CA1" s="3">
        <v>48396</v>
      </c>
      <c r="CB1" s="3">
        <v>48427</v>
      </c>
      <c r="CC1" s="3">
        <v>48458</v>
      </c>
      <c r="CD1" s="3">
        <v>48488</v>
      </c>
      <c r="CE1" s="3">
        <v>48519</v>
      </c>
      <c r="CF1" s="3">
        <v>48549</v>
      </c>
      <c r="CG1" s="4" t="s">
        <v>393</v>
      </c>
      <c r="CH1" s="3">
        <v>48580</v>
      </c>
      <c r="CI1" s="3">
        <v>48611</v>
      </c>
      <c r="CJ1" s="3">
        <v>48639</v>
      </c>
      <c r="CK1" s="3">
        <v>48670</v>
      </c>
      <c r="CL1" s="3">
        <v>48700</v>
      </c>
      <c r="CM1" s="3">
        <v>48731</v>
      </c>
      <c r="CN1" s="3">
        <v>48761</v>
      </c>
      <c r="CO1" s="3">
        <v>48792</v>
      </c>
      <c r="CP1" s="3">
        <v>48823</v>
      </c>
      <c r="CQ1" s="3">
        <v>48853</v>
      </c>
      <c r="CR1" s="3">
        <v>48884</v>
      </c>
      <c r="CS1" s="3">
        <v>48914</v>
      </c>
      <c r="CT1" s="4" t="s">
        <v>589</v>
      </c>
      <c r="CU1" s="3">
        <v>48945</v>
      </c>
      <c r="CV1" s="3">
        <v>48976</v>
      </c>
      <c r="CW1" s="3">
        <v>49004</v>
      </c>
      <c r="CX1" s="3">
        <v>49035</v>
      </c>
      <c r="CY1" s="3">
        <v>49065</v>
      </c>
      <c r="CZ1" s="3">
        <v>49096</v>
      </c>
      <c r="DA1" s="3">
        <v>49126</v>
      </c>
      <c r="DB1" s="3">
        <v>49157</v>
      </c>
      <c r="DC1" s="3">
        <v>49188</v>
      </c>
      <c r="DD1" s="3">
        <v>49218</v>
      </c>
      <c r="DE1" s="3">
        <v>49249</v>
      </c>
      <c r="DF1" s="3">
        <v>49279</v>
      </c>
      <c r="DG1" s="4" t="s">
        <v>590</v>
      </c>
    </row>
    <row r="2" spans="1:111" ht="16.5" thickBot="1">
      <c r="A2" s="6">
        <v>1</v>
      </c>
      <c r="B2" s="5" t="s">
        <v>116</v>
      </c>
      <c r="C2">
        <v>0</v>
      </c>
      <c r="D2" s="7">
        <v>0</v>
      </c>
      <c r="E2" s="7">
        <v>0</v>
      </c>
      <c r="F2" s="7">
        <f>('Cálcul. trabalhado'!I3)/2</f>
        <v>2453.8125</v>
      </c>
      <c r="G2" s="7">
        <f>F2*2</f>
        <v>4907.625</v>
      </c>
      <c r="H2" s="7">
        <f>'Cálcul. trabalhado'!I4</f>
        <v>26432.749999999996</v>
      </c>
      <c r="I2" s="7">
        <f t="shared" ref="I2:S2" si="0">H2</f>
        <v>26432.749999999996</v>
      </c>
      <c r="J2" s="7">
        <f t="shared" si="0"/>
        <v>26432.749999999996</v>
      </c>
      <c r="K2" s="7">
        <f t="shared" si="0"/>
        <v>26432.749999999996</v>
      </c>
      <c r="L2" s="7">
        <f t="shared" si="0"/>
        <v>26432.749999999996</v>
      </c>
      <c r="M2" s="7">
        <f t="shared" si="0"/>
        <v>26432.749999999996</v>
      </c>
      <c r="N2" s="7">
        <f t="shared" si="0"/>
        <v>26432.749999999996</v>
      </c>
      <c r="O2" s="7">
        <f t="shared" si="0"/>
        <v>26432.749999999996</v>
      </c>
      <c r="P2" s="7">
        <f t="shared" si="0"/>
        <v>26432.749999999996</v>
      </c>
      <c r="Q2" s="7">
        <f t="shared" si="0"/>
        <v>26432.749999999996</v>
      </c>
      <c r="R2" s="7">
        <f t="shared" si="0"/>
        <v>26432.749999999996</v>
      </c>
      <c r="S2" s="7">
        <f t="shared" si="0"/>
        <v>26432.749999999996</v>
      </c>
      <c r="T2" s="8">
        <f>SUM(F2:S2)</f>
        <v>324554.4375</v>
      </c>
      <c r="U2" s="7">
        <f>'Cálcul. trabalhado'!I5</f>
        <v>55271.874999999993</v>
      </c>
      <c r="V2" s="7">
        <f t="shared" ref="V2:AF2" si="1">U2</f>
        <v>55271.874999999993</v>
      </c>
      <c r="W2" s="7">
        <f t="shared" si="1"/>
        <v>55271.874999999993</v>
      </c>
      <c r="X2" s="7">
        <f t="shared" si="1"/>
        <v>55271.874999999993</v>
      </c>
      <c r="Y2" s="7">
        <f t="shared" si="1"/>
        <v>55271.874999999993</v>
      </c>
      <c r="Z2" s="7">
        <f t="shared" si="1"/>
        <v>55271.874999999993</v>
      </c>
      <c r="AA2" s="7">
        <f t="shared" si="1"/>
        <v>55271.874999999993</v>
      </c>
      <c r="AB2" s="7">
        <f t="shared" si="1"/>
        <v>55271.874999999993</v>
      </c>
      <c r="AC2" s="7">
        <f t="shared" si="1"/>
        <v>55271.874999999993</v>
      </c>
      <c r="AD2" s="7">
        <f t="shared" si="1"/>
        <v>55271.874999999993</v>
      </c>
      <c r="AE2" s="7">
        <f t="shared" si="1"/>
        <v>55271.874999999993</v>
      </c>
      <c r="AF2" s="7">
        <f t="shared" si="1"/>
        <v>55271.874999999993</v>
      </c>
      <c r="AG2" s="8">
        <f>SUM(T2:AF2)</f>
        <v>987816.9375</v>
      </c>
      <c r="AH2" s="7">
        <f>'Cálcul. trabalhado'!I6</f>
        <v>88435</v>
      </c>
      <c r="AI2" s="7">
        <f t="shared" ref="AI2:AS2" si="2">AH2</f>
        <v>88435</v>
      </c>
      <c r="AJ2" s="7">
        <f t="shared" si="2"/>
        <v>88435</v>
      </c>
      <c r="AK2" s="7">
        <f t="shared" si="2"/>
        <v>88435</v>
      </c>
      <c r="AL2" s="7">
        <f t="shared" si="2"/>
        <v>88435</v>
      </c>
      <c r="AM2" s="7">
        <f t="shared" si="2"/>
        <v>88435</v>
      </c>
      <c r="AN2" s="7">
        <f t="shared" si="2"/>
        <v>88435</v>
      </c>
      <c r="AO2" s="7">
        <f t="shared" si="2"/>
        <v>88435</v>
      </c>
      <c r="AP2" s="7">
        <f t="shared" si="2"/>
        <v>88435</v>
      </c>
      <c r="AQ2" s="7">
        <f t="shared" si="2"/>
        <v>88435</v>
      </c>
      <c r="AR2" s="7">
        <f t="shared" si="2"/>
        <v>88435</v>
      </c>
      <c r="AS2" s="7">
        <f t="shared" si="2"/>
        <v>88435</v>
      </c>
      <c r="AT2" s="8">
        <f>SUM(AG2:AS2)</f>
        <v>2049036.9375</v>
      </c>
      <c r="AU2" s="7">
        <f>'Cálcul. trabalhado'!I7</f>
        <v>110543.74999999999</v>
      </c>
      <c r="AV2" s="7">
        <f t="shared" ref="AV2:BF2" si="3">AU2</f>
        <v>110543.74999999999</v>
      </c>
      <c r="AW2" s="7">
        <f t="shared" si="3"/>
        <v>110543.74999999999</v>
      </c>
      <c r="AX2" s="7">
        <f t="shared" si="3"/>
        <v>110543.74999999999</v>
      </c>
      <c r="AY2" s="7">
        <f t="shared" si="3"/>
        <v>110543.74999999999</v>
      </c>
      <c r="AZ2" s="7">
        <f t="shared" si="3"/>
        <v>110543.74999999999</v>
      </c>
      <c r="BA2" s="7">
        <f t="shared" si="3"/>
        <v>110543.74999999999</v>
      </c>
      <c r="BB2" s="7">
        <f t="shared" si="3"/>
        <v>110543.74999999999</v>
      </c>
      <c r="BC2" s="7">
        <f t="shared" si="3"/>
        <v>110543.74999999999</v>
      </c>
      <c r="BD2" s="7">
        <f t="shared" si="3"/>
        <v>110543.74999999999</v>
      </c>
      <c r="BE2" s="7">
        <f t="shared" si="3"/>
        <v>110543.74999999999</v>
      </c>
      <c r="BF2" s="7">
        <f t="shared" si="3"/>
        <v>110543.74999999999</v>
      </c>
      <c r="BG2" s="8">
        <f>SUM(AT2:BF2)</f>
        <v>3375561.9375</v>
      </c>
      <c r="BH2" s="7">
        <f>'Cálcul. trabalhado'!I8</f>
        <v>132652.49999999997</v>
      </c>
      <c r="BI2" s="7">
        <f t="shared" ref="BI2:BS2" si="4">BH2</f>
        <v>132652.49999999997</v>
      </c>
      <c r="BJ2" s="7">
        <f t="shared" si="4"/>
        <v>132652.49999999997</v>
      </c>
      <c r="BK2" s="7">
        <f t="shared" si="4"/>
        <v>132652.49999999997</v>
      </c>
      <c r="BL2" s="7">
        <f t="shared" si="4"/>
        <v>132652.49999999997</v>
      </c>
      <c r="BM2" s="7">
        <f t="shared" si="4"/>
        <v>132652.49999999997</v>
      </c>
      <c r="BN2" s="7">
        <f t="shared" si="4"/>
        <v>132652.49999999997</v>
      </c>
      <c r="BO2" s="7">
        <f t="shared" si="4"/>
        <v>132652.49999999997</v>
      </c>
      <c r="BP2" s="7">
        <f t="shared" si="4"/>
        <v>132652.49999999997</v>
      </c>
      <c r="BQ2" s="7">
        <f t="shared" si="4"/>
        <v>132652.49999999997</v>
      </c>
      <c r="BR2" s="7">
        <f t="shared" si="4"/>
        <v>132652.49999999997</v>
      </c>
      <c r="BS2" s="7">
        <f t="shared" si="4"/>
        <v>132652.49999999997</v>
      </c>
      <c r="BT2" s="8">
        <f>SUM(BG2:BS2)</f>
        <v>4967391.9375</v>
      </c>
      <c r="BU2" s="7">
        <f>'Cálcul. trabalhado'!I9</f>
        <v>154761.24999999997</v>
      </c>
      <c r="BV2" s="7">
        <f t="shared" ref="BV2:CF2" si="5">BU2</f>
        <v>154761.24999999997</v>
      </c>
      <c r="BW2" s="7">
        <f t="shared" si="5"/>
        <v>154761.24999999997</v>
      </c>
      <c r="BX2" s="7">
        <f t="shared" si="5"/>
        <v>154761.24999999997</v>
      </c>
      <c r="BY2" s="7">
        <f t="shared" si="5"/>
        <v>154761.24999999997</v>
      </c>
      <c r="BZ2" s="7">
        <f t="shared" si="5"/>
        <v>154761.24999999997</v>
      </c>
      <c r="CA2" s="7">
        <f t="shared" si="5"/>
        <v>154761.24999999997</v>
      </c>
      <c r="CB2" s="7">
        <f t="shared" si="5"/>
        <v>154761.24999999997</v>
      </c>
      <c r="CC2" s="7">
        <f t="shared" si="5"/>
        <v>154761.24999999997</v>
      </c>
      <c r="CD2" s="7">
        <f t="shared" si="5"/>
        <v>154761.24999999997</v>
      </c>
      <c r="CE2" s="7">
        <f t="shared" si="5"/>
        <v>154761.24999999997</v>
      </c>
      <c r="CF2" s="7">
        <f t="shared" si="5"/>
        <v>154761.24999999997</v>
      </c>
      <c r="CG2" s="8">
        <f>SUM(BT2:CF2)</f>
        <v>6824526.9375</v>
      </c>
      <c r="CH2" s="299">
        <f>'Cálcul. trabalhado'!I9</f>
        <v>154761.24999999997</v>
      </c>
      <c r="CI2" s="299">
        <f t="shared" ref="CI2:CS2" si="6">CH2</f>
        <v>154761.24999999997</v>
      </c>
      <c r="CJ2" s="299">
        <f t="shared" si="6"/>
        <v>154761.24999999997</v>
      </c>
      <c r="CK2" s="300">
        <f t="shared" si="6"/>
        <v>154761.24999999997</v>
      </c>
      <c r="CL2" s="300">
        <f t="shared" si="6"/>
        <v>154761.24999999997</v>
      </c>
      <c r="CM2" s="300">
        <f t="shared" si="6"/>
        <v>154761.24999999997</v>
      </c>
      <c r="CN2" s="300">
        <f t="shared" si="6"/>
        <v>154761.24999999997</v>
      </c>
      <c r="CO2" s="300">
        <f t="shared" si="6"/>
        <v>154761.24999999997</v>
      </c>
      <c r="CP2" s="300">
        <f t="shared" si="6"/>
        <v>154761.24999999997</v>
      </c>
      <c r="CQ2" s="300">
        <f t="shared" si="6"/>
        <v>154761.24999999997</v>
      </c>
      <c r="CR2" s="300">
        <f t="shared" si="6"/>
        <v>154761.24999999997</v>
      </c>
      <c r="CS2" s="300">
        <f t="shared" si="6"/>
        <v>154761.24999999997</v>
      </c>
      <c r="CT2" s="301">
        <f>SUM(CG2:CS2)</f>
        <v>8681661.9375</v>
      </c>
      <c r="CU2" s="299">
        <f>'Cálcul. trabalhado'!I10</f>
        <v>165815.62499999997</v>
      </c>
      <c r="CV2" s="299">
        <f t="shared" ref="CV2:DF2" si="7">CU2</f>
        <v>165815.62499999997</v>
      </c>
      <c r="CW2" s="299">
        <f t="shared" si="7"/>
        <v>165815.62499999997</v>
      </c>
      <c r="CX2" s="299">
        <f t="shared" si="7"/>
        <v>165815.62499999997</v>
      </c>
      <c r="CY2" s="299">
        <f t="shared" si="7"/>
        <v>165815.62499999997</v>
      </c>
      <c r="CZ2" s="299">
        <f t="shared" si="7"/>
        <v>165815.62499999997</v>
      </c>
      <c r="DA2" s="299">
        <f t="shared" si="7"/>
        <v>165815.62499999997</v>
      </c>
      <c r="DB2" s="299">
        <f t="shared" si="7"/>
        <v>165815.62499999997</v>
      </c>
      <c r="DC2" s="299">
        <f t="shared" si="7"/>
        <v>165815.62499999997</v>
      </c>
      <c r="DD2" s="299">
        <f t="shared" si="7"/>
        <v>165815.62499999997</v>
      </c>
      <c r="DE2" s="299">
        <f t="shared" si="7"/>
        <v>165815.62499999997</v>
      </c>
      <c r="DF2" s="299">
        <f t="shared" si="7"/>
        <v>165815.62499999997</v>
      </c>
      <c r="DG2" s="301">
        <f>SUM(CT2:DF2)</f>
        <v>10671449.4375</v>
      </c>
    </row>
    <row r="3" spans="1:111" ht="16.5" thickBot="1">
      <c r="A3" s="9"/>
      <c r="B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3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</row>
    <row r="4" spans="1:111" ht="15.75" thickBot="1">
      <c r="A4" s="9"/>
      <c r="B4" s="10"/>
      <c r="D4" s="10"/>
      <c r="E4" s="10"/>
      <c r="F4" s="10"/>
      <c r="G4" s="1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5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5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111" ht="17.25" thickBot="1">
      <c r="A5" s="5"/>
      <c r="B5" s="15" t="s">
        <v>153</v>
      </c>
      <c r="C5" s="256">
        <f>C2-C8</f>
        <v>-19000</v>
      </c>
      <c r="D5" s="25">
        <f>D2-D8</f>
        <v>-28000</v>
      </c>
      <c r="E5" s="25">
        <f t="shared" ref="E5:G5" si="8">E2-E8</f>
        <v>-21480</v>
      </c>
      <c r="F5" s="25">
        <f>F2-F8</f>
        <v>-41914.983124999999</v>
      </c>
      <c r="G5" s="25">
        <f t="shared" si="8"/>
        <v>-39608.399375000001</v>
      </c>
      <c r="H5" s="25">
        <f>H2-H8</f>
        <v>-20216.561250000002</v>
      </c>
      <c r="I5" s="25">
        <f t="shared" ref="I5:S5" si="9">I2-I8</f>
        <v>-20216.561250000002</v>
      </c>
      <c r="J5" s="25">
        <f t="shared" si="9"/>
        <v>-20216.561250000002</v>
      </c>
      <c r="K5" s="25">
        <f t="shared" si="9"/>
        <v>-20216.561250000002</v>
      </c>
      <c r="L5" s="25">
        <f t="shared" si="9"/>
        <v>-20516.561250000002</v>
      </c>
      <c r="M5" s="25">
        <f t="shared" si="9"/>
        <v>-20516.561250000002</v>
      </c>
      <c r="N5" s="25">
        <f t="shared" si="9"/>
        <v>-20516.561250000002</v>
      </c>
      <c r="O5" s="25">
        <f t="shared" si="9"/>
        <v>-20516.561250000002</v>
      </c>
      <c r="P5" s="25">
        <f t="shared" si="9"/>
        <v>-20516.561250000002</v>
      </c>
      <c r="Q5" s="25">
        <f t="shared" si="9"/>
        <v>-20516.561250000002</v>
      </c>
      <c r="R5" s="25">
        <f t="shared" si="9"/>
        <v>-20516.561250000002</v>
      </c>
      <c r="S5" s="25">
        <f t="shared" si="9"/>
        <v>-20516.561250000002</v>
      </c>
      <c r="T5" s="8">
        <f>SUM(C5:S5)</f>
        <v>-395002.11750000017</v>
      </c>
      <c r="U5" s="25">
        <f>U2-U8</f>
        <v>1470.3468749999884</v>
      </c>
      <c r="V5" s="25">
        <f>V2-V8</f>
        <v>1470.3468749999884</v>
      </c>
      <c r="W5" s="25">
        <f>W2-W8</f>
        <v>-4239.2378125000105</v>
      </c>
      <c r="X5" s="25">
        <f t="shared" ref="X5:AF5" si="10">X2-X8</f>
        <v>-4239.2378125000105</v>
      </c>
      <c r="Y5" s="25">
        <f t="shared" si="10"/>
        <v>-4239.2378125000105</v>
      </c>
      <c r="Z5" s="25">
        <f t="shared" si="10"/>
        <v>-4239.2378125000105</v>
      </c>
      <c r="AA5" s="25">
        <f t="shared" si="10"/>
        <v>-4239.2378125000105</v>
      </c>
      <c r="AB5" s="25">
        <f t="shared" si="10"/>
        <v>-4239.2378125000105</v>
      </c>
      <c r="AC5" s="25">
        <f t="shared" si="10"/>
        <v>-4239.2378125000105</v>
      </c>
      <c r="AD5" s="25">
        <f t="shared" si="10"/>
        <v>-4239.2378125000105</v>
      </c>
      <c r="AE5" s="25">
        <f t="shared" si="10"/>
        <v>-4239.2378125000105</v>
      </c>
      <c r="AF5" s="25">
        <f t="shared" si="10"/>
        <v>-4239.2378125000105</v>
      </c>
      <c r="AG5" s="8">
        <f>SUM(T5:AF5)</f>
        <v>-434453.801875</v>
      </c>
      <c r="AH5" s="25">
        <f>AH2-AH8</f>
        <v>17290.109499999991</v>
      </c>
      <c r="AI5" s="25">
        <f t="shared" ref="AI5:AS5" si="11">AI2-AI8</f>
        <v>17290.109499999991</v>
      </c>
      <c r="AJ5" s="25">
        <f t="shared" si="11"/>
        <v>17290.109499999991</v>
      </c>
      <c r="AK5" s="25">
        <f t="shared" si="11"/>
        <v>17290.109499999991</v>
      </c>
      <c r="AL5" s="25">
        <f t="shared" si="11"/>
        <v>17290.109499999991</v>
      </c>
      <c r="AM5" s="25">
        <f t="shared" si="11"/>
        <v>17290.109499999991</v>
      </c>
      <c r="AN5" s="25">
        <f t="shared" si="11"/>
        <v>17290.109499999991</v>
      </c>
      <c r="AO5" s="25">
        <f t="shared" si="11"/>
        <v>17290.109499999991</v>
      </c>
      <c r="AP5" s="25">
        <f t="shared" si="11"/>
        <v>17290.109499999991</v>
      </c>
      <c r="AQ5" s="25">
        <f t="shared" si="11"/>
        <v>17290.109499999991</v>
      </c>
      <c r="AR5" s="25">
        <f t="shared" si="11"/>
        <v>17290.109499999991</v>
      </c>
      <c r="AS5" s="25">
        <f t="shared" si="11"/>
        <v>17290.109499999991</v>
      </c>
      <c r="AT5" s="8">
        <f>SUM(AG5:AS5)</f>
        <v>-226972.48787499985</v>
      </c>
      <c r="AU5" s="25">
        <f>AU2-AU8</f>
        <v>30292.931374999971</v>
      </c>
      <c r="AV5" s="25">
        <f t="shared" ref="AV5:BF5" si="12">AV2-AV8</f>
        <v>30292.931374999971</v>
      </c>
      <c r="AW5" s="25">
        <f t="shared" si="12"/>
        <v>30292.931374999971</v>
      </c>
      <c r="AX5" s="25">
        <f t="shared" si="12"/>
        <v>30292.931374999971</v>
      </c>
      <c r="AY5" s="25">
        <f t="shared" si="12"/>
        <v>30292.931374999971</v>
      </c>
      <c r="AZ5" s="25">
        <f t="shared" si="12"/>
        <v>30292.931374999971</v>
      </c>
      <c r="BA5" s="25">
        <f t="shared" si="12"/>
        <v>30292.931374999971</v>
      </c>
      <c r="BB5" s="25">
        <f t="shared" si="12"/>
        <v>30292.931374999971</v>
      </c>
      <c r="BC5" s="25">
        <f t="shared" si="12"/>
        <v>30292.931374999971</v>
      </c>
      <c r="BD5" s="25">
        <f t="shared" si="12"/>
        <v>30292.931374999971</v>
      </c>
      <c r="BE5" s="25">
        <f t="shared" si="12"/>
        <v>30292.931374999971</v>
      </c>
      <c r="BF5" s="25">
        <f t="shared" si="12"/>
        <v>30292.931374999971</v>
      </c>
      <c r="BG5" s="8">
        <f>SUM(AT5:BF5)</f>
        <v>136542.68862499984</v>
      </c>
      <c r="BH5" s="25">
        <f>BH2-BH8</f>
        <v>41786.213349999962</v>
      </c>
      <c r="BI5" s="25">
        <f t="shared" ref="BI5:BS5" si="13">BI2-BI8</f>
        <v>41786.213349999962</v>
      </c>
      <c r="BJ5" s="25">
        <f t="shared" si="13"/>
        <v>41786.213349999962</v>
      </c>
      <c r="BK5" s="25">
        <f t="shared" si="13"/>
        <v>41786.213349999962</v>
      </c>
      <c r="BL5" s="25">
        <f t="shared" si="13"/>
        <v>41786.213349999962</v>
      </c>
      <c r="BM5" s="25">
        <f t="shared" si="13"/>
        <v>41786.213349999962</v>
      </c>
      <c r="BN5" s="25">
        <f t="shared" si="13"/>
        <v>41786.213349999962</v>
      </c>
      <c r="BO5" s="25">
        <f t="shared" si="13"/>
        <v>41786.213349999962</v>
      </c>
      <c r="BP5" s="25">
        <f t="shared" si="13"/>
        <v>41786.213349999962</v>
      </c>
      <c r="BQ5" s="25">
        <f t="shared" si="13"/>
        <v>41786.213349999962</v>
      </c>
      <c r="BR5" s="25">
        <f t="shared" si="13"/>
        <v>41786.213349999962</v>
      </c>
      <c r="BS5" s="25">
        <f t="shared" si="13"/>
        <v>41786.213349999962</v>
      </c>
      <c r="BT5" s="8">
        <f>SUM(BG5:BS5)</f>
        <v>637977.24882499955</v>
      </c>
      <c r="BU5" s="25">
        <f>BU2-BU8</f>
        <v>54474.310594999959</v>
      </c>
      <c r="BV5" s="25">
        <f>BV2-BV8</f>
        <v>54474.310594999959</v>
      </c>
      <c r="BW5" s="25">
        <f t="shared" ref="BW5:CC5" si="14">BW2-BW8</f>
        <v>54474.310594999959</v>
      </c>
      <c r="BX5" s="25">
        <f t="shared" si="14"/>
        <v>54474.310594999959</v>
      </c>
      <c r="BY5" s="25">
        <f t="shared" si="14"/>
        <v>54474.310594999959</v>
      </c>
      <c r="BZ5" s="25">
        <f t="shared" si="14"/>
        <v>54474.310594999959</v>
      </c>
      <c r="CA5" s="25">
        <f t="shared" si="14"/>
        <v>54474.310594999959</v>
      </c>
      <c r="CB5" s="25">
        <f t="shared" si="14"/>
        <v>54474.310594999959</v>
      </c>
      <c r="CC5" s="25">
        <f t="shared" si="14"/>
        <v>54474.310594999959</v>
      </c>
      <c r="CD5" s="25">
        <f>CD2-CD8</f>
        <v>54474.310594999959</v>
      </c>
      <c r="CE5" s="25">
        <f>CE2-CE8</f>
        <v>54474.310594999959</v>
      </c>
      <c r="CF5" s="25">
        <f>CF2-CF8</f>
        <v>54474.310594999959</v>
      </c>
      <c r="CG5" s="8">
        <f>SUM(BT5:CF5)</f>
        <v>1291668.9759649988</v>
      </c>
      <c r="CH5" s="302">
        <f>CH2-CH8</f>
        <v>49010.08724199995</v>
      </c>
      <c r="CI5" s="302">
        <f t="shared" ref="CI5:CR5" si="15">CI2-CI8</f>
        <v>49010.08724199995</v>
      </c>
      <c r="CJ5" s="302">
        <f t="shared" si="15"/>
        <v>49010.08724199995</v>
      </c>
      <c r="CK5" s="302">
        <f t="shared" si="15"/>
        <v>49010.08724199995</v>
      </c>
      <c r="CL5" s="302">
        <f t="shared" si="15"/>
        <v>49010.08724199995</v>
      </c>
      <c r="CM5" s="302">
        <f t="shared" si="15"/>
        <v>49010.08724199995</v>
      </c>
      <c r="CN5" s="302">
        <f t="shared" si="15"/>
        <v>49010.08724199995</v>
      </c>
      <c r="CO5" s="302">
        <f t="shared" si="15"/>
        <v>49010.08724199995</v>
      </c>
      <c r="CP5" s="302">
        <f t="shared" si="15"/>
        <v>49010.08724199995</v>
      </c>
      <c r="CQ5" s="302">
        <f t="shared" si="15"/>
        <v>49010.08724199995</v>
      </c>
      <c r="CR5" s="302">
        <f t="shared" si="15"/>
        <v>49010.08724199995</v>
      </c>
      <c r="CS5" s="302">
        <f>CS2-CS8</f>
        <v>49010.08724199995</v>
      </c>
      <c r="CT5" s="301">
        <f>SUM(CG5:CS5)</f>
        <v>1879790.0228689993</v>
      </c>
      <c r="CU5" s="35">
        <f>CU2-CU8</f>
        <v>51682.533991199947</v>
      </c>
      <c r="CV5" s="35">
        <f t="shared" ref="CV5:DE5" si="16">CV2-CV8</f>
        <v>51682.533991199947</v>
      </c>
      <c r="CW5" s="35">
        <f t="shared" si="16"/>
        <v>51682.533991199947</v>
      </c>
      <c r="CX5" s="35">
        <f t="shared" si="16"/>
        <v>51682.533991199947</v>
      </c>
      <c r="CY5" s="35">
        <f t="shared" si="16"/>
        <v>51682.533991199947</v>
      </c>
      <c r="CZ5" s="35">
        <f t="shared" si="16"/>
        <v>51682.533991199947</v>
      </c>
      <c r="DA5" s="35">
        <f t="shared" si="16"/>
        <v>51682.533991199947</v>
      </c>
      <c r="DB5" s="35">
        <f t="shared" si="16"/>
        <v>51682.533991199947</v>
      </c>
      <c r="DC5" s="35">
        <f t="shared" si="16"/>
        <v>51682.533991199947</v>
      </c>
      <c r="DD5" s="35">
        <f t="shared" si="16"/>
        <v>51682.533991199947</v>
      </c>
      <c r="DE5" s="35">
        <f t="shared" si="16"/>
        <v>51682.533991199947</v>
      </c>
      <c r="DF5" s="35">
        <f>DF2-DF8</f>
        <v>51682.533991199947</v>
      </c>
      <c r="DG5" s="301">
        <f>SUM(CT5:DF5)</f>
        <v>2499980.4307633983</v>
      </c>
    </row>
    <row r="6" spans="1:111" ht="15" thickBot="1">
      <c r="A6" s="5"/>
      <c r="B6" s="19" t="s">
        <v>596</v>
      </c>
      <c r="D6" s="5"/>
      <c r="E6" s="5"/>
      <c r="F6" s="338">
        <f>F5/F2</f>
        <v>-17.081575354677671</v>
      </c>
      <c r="G6" s="338">
        <f>G5/G2</f>
        <v>-8.070787677338835</v>
      </c>
      <c r="H6" s="43">
        <f>H5/H2</f>
        <v>-0.76483004038550684</v>
      </c>
      <c r="I6" s="43">
        <f>I5/I2</f>
        <v>-0.76483004038550684</v>
      </c>
      <c r="J6" s="43">
        <f>J5/J2</f>
        <v>-0.76483004038550684</v>
      </c>
      <c r="K6" s="43">
        <f t="shared" ref="K6:S6" si="17">K5/K2</f>
        <v>-0.76483004038550684</v>
      </c>
      <c r="L6" s="43">
        <f t="shared" si="17"/>
        <v>-0.77617959727988972</v>
      </c>
      <c r="M6" s="43">
        <f t="shared" si="17"/>
        <v>-0.77617959727988972</v>
      </c>
      <c r="N6" s="43">
        <f t="shared" si="17"/>
        <v>-0.77617959727988972</v>
      </c>
      <c r="O6" s="43">
        <f t="shared" si="17"/>
        <v>-0.77617959727988972</v>
      </c>
      <c r="P6" s="43">
        <f t="shared" si="17"/>
        <v>-0.77617959727988972</v>
      </c>
      <c r="Q6" s="43">
        <f t="shared" si="17"/>
        <v>-0.77617959727988972</v>
      </c>
      <c r="R6" s="43">
        <f t="shared" si="17"/>
        <v>-0.77617959727988972</v>
      </c>
      <c r="S6" s="43">
        <f t="shared" si="17"/>
        <v>-0.77617959727988972</v>
      </c>
      <c r="T6" s="5"/>
      <c r="U6" s="43">
        <f t="shared" ref="U6:AF6" si="18">U5/U2</f>
        <v>2.6602080624187049E-2</v>
      </c>
      <c r="V6" s="43">
        <f>V5/V2</f>
        <v>2.6602080624187049E-2</v>
      </c>
      <c r="W6" s="43">
        <f>W5/W2</f>
        <v>-7.669791937581294E-2</v>
      </c>
      <c r="X6" s="43">
        <f t="shared" si="18"/>
        <v>-7.669791937581294E-2</v>
      </c>
      <c r="Y6" s="43">
        <f t="shared" si="18"/>
        <v>-7.669791937581294E-2</v>
      </c>
      <c r="Z6" s="43">
        <f t="shared" si="18"/>
        <v>-7.669791937581294E-2</v>
      </c>
      <c r="AA6" s="43">
        <f t="shared" si="18"/>
        <v>-7.669791937581294E-2</v>
      </c>
      <c r="AB6" s="43">
        <f t="shared" si="18"/>
        <v>-7.669791937581294E-2</v>
      </c>
      <c r="AC6" s="43">
        <f t="shared" si="18"/>
        <v>-7.669791937581294E-2</v>
      </c>
      <c r="AD6" s="43">
        <f t="shared" si="18"/>
        <v>-7.669791937581294E-2</v>
      </c>
      <c r="AE6" s="43">
        <f t="shared" si="18"/>
        <v>-7.669791937581294E-2</v>
      </c>
      <c r="AF6" s="43">
        <f t="shared" si="18"/>
        <v>-7.669791937581294E-2</v>
      </c>
      <c r="AG6" s="5"/>
      <c r="AH6" s="43">
        <f t="shared" ref="AH6:AS6" si="19">AH5/AH2</f>
        <v>0.19551206535873797</v>
      </c>
      <c r="AI6" s="43">
        <f t="shared" si="19"/>
        <v>0.19551206535873797</v>
      </c>
      <c r="AJ6" s="43">
        <f t="shared" si="19"/>
        <v>0.19551206535873797</v>
      </c>
      <c r="AK6" s="43">
        <f t="shared" si="19"/>
        <v>0.19551206535873797</v>
      </c>
      <c r="AL6" s="43">
        <f t="shared" si="19"/>
        <v>0.19551206535873797</v>
      </c>
      <c r="AM6" s="43">
        <f t="shared" si="19"/>
        <v>0.19551206535873797</v>
      </c>
      <c r="AN6" s="43">
        <f t="shared" si="19"/>
        <v>0.19551206535873797</v>
      </c>
      <c r="AO6" s="43">
        <f t="shared" si="19"/>
        <v>0.19551206535873797</v>
      </c>
      <c r="AP6" s="43">
        <f t="shared" si="19"/>
        <v>0.19551206535873797</v>
      </c>
      <c r="AQ6" s="43">
        <f t="shared" si="19"/>
        <v>0.19551206535873797</v>
      </c>
      <c r="AR6" s="43">
        <f t="shared" si="19"/>
        <v>0.19551206535873797</v>
      </c>
      <c r="AS6" s="43">
        <f t="shared" si="19"/>
        <v>0.19551206535873797</v>
      </c>
      <c r="AU6" s="43">
        <f t="shared" ref="AU6:BF6" si="20">AU5/AU2</f>
        <v>0.27403567705094112</v>
      </c>
      <c r="AV6" s="43">
        <f t="shared" si="20"/>
        <v>0.27403567705094112</v>
      </c>
      <c r="AW6" s="43">
        <f t="shared" si="20"/>
        <v>0.27403567705094112</v>
      </c>
      <c r="AX6" s="43">
        <f t="shared" si="20"/>
        <v>0.27403567705094112</v>
      </c>
      <c r="AY6" s="43">
        <f t="shared" si="20"/>
        <v>0.27403567705094112</v>
      </c>
      <c r="AZ6" s="43">
        <f t="shared" si="20"/>
        <v>0.27403567705094112</v>
      </c>
      <c r="BA6" s="43">
        <f t="shared" si="20"/>
        <v>0.27403567705094112</v>
      </c>
      <c r="BB6" s="43">
        <f t="shared" si="20"/>
        <v>0.27403567705094112</v>
      </c>
      <c r="BC6" s="43">
        <f t="shared" si="20"/>
        <v>0.27403567705094112</v>
      </c>
      <c r="BD6" s="43">
        <f t="shared" si="20"/>
        <v>0.27403567705094112</v>
      </c>
      <c r="BE6" s="43">
        <f t="shared" si="20"/>
        <v>0.27403567705094112</v>
      </c>
      <c r="BF6" s="43">
        <f t="shared" si="20"/>
        <v>0.27403567705094112</v>
      </c>
      <c r="BH6" s="43">
        <f t="shared" ref="BH6:BS6" si="21">BH5/BH2</f>
        <v>0.31500509489078587</v>
      </c>
      <c r="BI6" s="43">
        <f t="shared" si="21"/>
        <v>0.31500509489078587</v>
      </c>
      <c r="BJ6" s="43">
        <f t="shared" si="21"/>
        <v>0.31500509489078587</v>
      </c>
      <c r="BK6" s="43">
        <f t="shared" si="21"/>
        <v>0.31500509489078587</v>
      </c>
      <c r="BL6" s="43">
        <f t="shared" si="21"/>
        <v>0.31500509489078587</v>
      </c>
      <c r="BM6" s="43">
        <f t="shared" si="21"/>
        <v>0.31500509489078587</v>
      </c>
      <c r="BN6" s="43">
        <f t="shared" si="21"/>
        <v>0.31500509489078587</v>
      </c>
      <c r="BO6" s="43">
        <f t="shared" si="21"/>
        <v>0.31500509489078587</v>
      </c>
      <c r="BP6" s="43">
        <f t="shared" si="21"/>
        <v>0.31500509489078587</v>
      </c>
      <c r="BQ6" s="43">
        <f t="shared" si="21"/>
        <v>0.31500509489078587</v>
      </c>
      <c r="BR6" s="43">
        <f t="shared" si="21"/>
        <v>0.31500509489078587</v>
      </c>
      <c r="BS6" s="43">
        <f t="shared" si="21"/>
        <v>0.31500509489078587</v>
      </c>
      <c r="BU6" s="43">
        <f>BU5/BU2</f>
        <v>0.35198934226106321</v>
      </c>
      <c r="BV6" s="43">
        <f t="shared" ref="BV6:CD6" si="22">BV5/BV2</f>
        <v>0.35198934226106321</v>
      </c>
      <c r="BW6" s="43">
        <f t="shared" si="22"/>
        <v>0.35198934226106321</v>
      </c>
      <c r="BX6" s="43">
        <f t="shared" si="22"/>
        <v>0.35198934226106321</v>
      </c>
      <c r="BY6" s="43">
        <f t="shared" si="22"/>
        <v>0.35198934226106321</v>
      </c>
      <c r="BZ6" s="43">
        <f t="shared" si="22"/>
        <v>0.35198934226106321</v>
      </c>
      <c r="CA6" s="43">
        <f t="shared" si="22"/>
        <v>0.35198934226106321</v>
      </c>
      <c r="CB6" s="43">
        <f t="shared" si="22"/>
        <v>0.35198934226106321</v>
      </c>
      <c r="CC6" s="43">
        <f t="shared" si="22"/>
        <v>0.35198934226106321</v>
      </c>
      <c r="CD6" s="43">
        <f t="shared" si="22"/>
        <v>0.35198934226106321</v>
      </c>
      <c r="CE6" s="43">
        <f>CE5/CE2</f>
        <v>0.35198934226106321</v>
      </c>
      <c r="CF6" s="43">
        <f>CF5/CF2</f>
        <v>0.35198934226106321</v>
      </c>
      <c r="CH6" s="303">
        <f>CH5/CH2</f>
        <v>0.31668190352559156</v>
      </c>
      <c r="CI6" s="303">
        <f t="shared" ref="CI6:CR6" si="23">CI5/CI2</f>
        <v>0.31668190352559156</v>
      </c>
      <c r="CJ6" s="303">
        <f t="shared" si="23"/>
        <v>0.31668190352559156</v>
      </c>
      <c r="CK6" s="303">
        <f t="shared" si="23"/>
        <v>0.31668190352559156</v>
      </c>
      <c r="CL6" s="303">
        <f t="shared" si="23"/>
        <v>0.31668190352559156</v>
      </c>
      <c r="CM6" s="303">
        <f t="shared" si="23"/>
        <v>0.31668190352559156</v>
      </c>
      <c r="CN6" s="303">
        <f t="shared" si="23"/>
        <v>0.31668190352559156</v>
      </c>
      <c r="CO6" s="303">
        <f t="shared" si="23"/>
        <v>0.31668190352559156</v>
      </c>
      <c r="CP6" s="303">
        <f t="shared" si="23"/>
        <v>0.31668190352559156</v>
      </c>
      <c r="CQ6" s="303">
        <f t="shared" si="23"/>
        <v>0.31668190352559156</v>
      </c>
      <c r="CR6" s="303">
        <f t="shared" si="23"/>
        <v>0.31668190352559156</v>
      </c>
      <c r="CS6" s="303">
        <f>CS5/CS2</f>
        <v>0.31668190352559156</v>
      </c>
      <c r="CT6" s="303"/>
      <c r="CU6" s="303">
        <f>CU5/CU2</f>
        <v>0.31168675443704391</v>
      </c>
      <c r="CV6" s="303">
        <f t="shared" ref="CV6:DE6" si="24">CV5/CV2</f>
        <v>0.31168675443704391</v>
      </c>
      <c r="CW6" s="303">
        <f t="shared" si="24"/>
        <v>0.31168675443704391</v>
      </c>
      <c r="CX6" s="303">
        <f t="shared" si="24"/>
        <v>0.31168675443704391</v>
      </c>
      <c r="CY6" s="303">
        <f t="shared" si="24"/>
        <v>0.31168675443704391</v>
      </c>
      <c r="CZ6" s="303">
        <f t="shared" si="24"/>
        <v>0.31168675443704391</v>
      </c>
      <c r="DA6" s="303">
        <f t="shared" si="24"/>
        <v>0.31168675443704391</v>
      </c>
      <c r="DB6" s="303">
        <f t="shared" si="24"/>
        <v>0.31168675443704391</v>
      </c>
      <c r="DC6" s="303">
        <f t="shared" si="24"/>
        <v>0.31168675443704391</v>
      </c>
      <c r="DD6" s="303">
        <f t="shared" si="24"/>
        <v>0.31168675443704391</v>
      </c>
      <c r="DE6" s="303">
        <f t="shared" si="24"/>
        <v>0.31168675443704391</v>
      </c>
      <c r="DF6" s="303">
        <f>DF5/DF2</f>
        <v>0.31168675443704391</v>
      </c>
    </row>
    <row r="7" spans="1:111" ht="15" thickBot="1">
      <c r="A7" s="5"/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111" ht="17.25" thickBot="1">
      <c r="A8" s="5"/>
      <c r="B8" s="15" t="s">
        <v>6</v>
      </c>
      <c r="C8" s="35">
        <f>C10+C53</f>
        <v>19000</v>
      </c>
      <c r="D8" s="17">
        <f>D10+D53</f>
        <v>28000</v>
      </c>
      <c r="E8" s="17">
        <f t="shared" ref="E8:R8" si="25">E10+E53</f>
        <v>21480</v>
      </c>
      <c r="F8" s="17">
        <f t="shared" si="25"/>
        <v>44368.795624999999</v>
      </c>
      <c r="G8" s="17">
        <f t="shared" si="25"/>
        <v>44516.024375000001</v>
      </c>
      <c r="H8" s="17">
        <f t="shared" si="25"/>
        <v>46649.311249999999</v>
      </c>
      <c r="I8" s="17">
        <f t="shared" si="25"/>
        <v>46649.311249999999</v>
      </c>
      <c r="J8" s="17">
        <f t="shared" si="25"/>
        <v>46649.311249999999</v>
      </c>
      <c r="K8" s="17">
        <f t="shared" si="25"/>
        <v>46649.311249999999</v>
      </c>
      <c r="L8" s="17">
        <f t="shared" si="25"/>
        <v>46949.311249999999</v>
      </c>
      <c r="M8" s="17">
        <f t="shared" si="25"/>
        <v>46949.311249999999</v>
      </c>
      <c r="N8" s="17">
        <f t="shared" si="25"/>
        <v>46949.311249999999</v>
      </c>
      <c r="O8" s="17">
        <f t="shared" si="25"/>
        <v>46949.311249999999</v>
      </c>
      <c r="P8" s="17">
        <f t="shared" si="25"/>
        <v>46949.311249999999</v>
      </c>
      <c r="Q8" s="17">
        <f t="shared" si="25"/>
        <v>46949.311249999999</v>
      </c>
      <c r="R8" s="17">
        <f t="shared" si="25"/>
        <v>46949.311249999999</v>
      </c>
      <c r="S8" s="17">
        <f>S10+S53</f>
        <v>46949.311249999999</v>
      </c>
      <c r="T8" s="5"/>
      <c r="U8" s="17">
        <f t="shared" ref="U8:AF8" si="26">U10+U53</f>
        <v>53801.528125000004</v>
      </c>
      <c r="V8" s="17">
        <f>V10+V53</f>
        <v>53801.528125000004</v>
      </c>
      <c r="W8" s="17">
        <f t="shared" si="26"/>
        <v>59511.112812500003</v>
      </c>
      <c r="X8" s="17">
        <f t="shared" si="26"/>
        <v>59511.112812500003</v>
      </c>
      <c r="Y8" s="17">
        <f t="shared" si="26"/>
        <v>59511.112812500003</v>
      </c>
      <c r="Z8" s="17">
        <f t="shared" si="26"/>
        <v>59511.112812500003</v>
      </c>
      <c r="AA8" s="17">
        <f t="shared" si="26"/>
        <v>59511.112812500003</v>
      </c>
      <c r="AB8" s="17">
        <f t="shared" si="26"/>
        <v>59511.112812500003</v>
      </c>
      <c r="AC8" s="17">
        <f t="shared" si="26"/>
        <v>59511.112812500003</v>
      </c>
      <c r="AD8" s="17">
        <f t="shared" si="26"/>
        <v>59511.112812500003</v>
      </c>
      <c r="AE8" s="17">
        <f t="shared" si="26"/>
        <v>59511.112812500003</v>
      </c>
      <c r="AF8" s="17">
        <f t="shared" si="26"/>
        <v>59511.112812500003</v>
      </c>
      <c r="AG8" s="5"/>
      <c r="AH8" s="17">
        <f t="shared" ref="AH8:AS8" si="27">AH10+AH53</f>
        <v>71144.890500000009</v>
      </c>
      <c r="AI8" s="17">
        <f t="shared" si="27"/>
        <v>71144.890500000009</v>
      </c>
      <c r="AJ8" s="17">
        <f t="shared" si="27"/>
        <v>71144.890500000009</v>
      </c>
      <c r="AK8" s="17">
        <f t="shared" si="27"/>
        <v>71144.890500000009</v>
      </c>
      <c r="AL8" s="17">
        <f t="shared" si="27"/>
        <v>71144.890500000009</v>
      </c>
      <c r="AM8" s="17">
        <f t="shared" si="27"/>
        <v>71144.890500000009</v>
      </c>
      <c r="AN8" s="17">
        <f t="shared" si="27"/>
        <v>71144.890500000009</v>
      </c>
      <c r="AO8" s="17">
        <f t="shared" si="27"/>
        <v>71144.890500000009</v>
      </c>
      <c r="AP8" s="17">
        <f t="shared" si="27"/>
        <v>71144.890500000009</v>
      </c>
      <c r="AQ8" s="17">
        <f t="shared" si="27"/>
        <v>71144.890500000009</v>
      </c>
      <c r="AR8" s="17">
        <f t="shared" si="27"/>
        <v>71144.890500000009</v>
      </c>
      <c r="AS8" s="17">
        <f t="shared" si="27"/>
        <v>71144.890500000009</v>
      </c>
      <c r="AU8" s="17">
        <f t="shared" ref="AU8:BF8" si="28">AU10+AU53</f>
        <v>80250.818625000014</v>
      </c>
      <c r="AV8" s="17">
        <f t="shared" si="28"/>
        <v>80250.818625000014</v>
      </c>
      <c r="AW8" s="17">
        <f t="shared" si="28"/>
        <v>80250.818625000014</v>
      </c>
      <c r="AX8" s="17">
        <f t="shared" si="28"/>
        <v>80250.818625000014</v>
      </c>
      <c r="AY8" s="17">
        <f t="shared" si="28"/>
        <v>80250.818625000014</v>
      </c>
      <c r="AZ8" s="17">
        <f t="shared" si="28"/>
        <v>80250.818625000014</v>
      </c>
      <c r="BA8" s="17">
        <f t="shared" si="28"/>
        <v>80250.818625000014</v>
      </c>
      <c r="BB8" s="17">
        <f t="shared" si="28"/>
        <v>80250.818625000014</v>
      </c>
      <c r="BC8" s="17">
        <f t="shared" si="28"/>
        <v>80250.818625000014</v>
      </c>
      <c r="BD8" s="17">
        <f t="shared" si="28"/>
        <v>80250.818625000014</v>
      </c>
      <c r="BE8" s="17">
        <f t="shared" si="28"/>
        <v>80250.818625000014</v>
      </c>
      <c r="BF8" s="17">
        <f t="shared" si="28"/>
        <v>80250.818625000014</v>
      </c>
      <c r="BH8" s="17">
        <f t="shared" ref="BH8:BS8" si="29">BH10+BH53</f>
        <v>90866.286650000009</v>
      </c>
      <c r="BI8" s="17">
        <f t="shared" si="29"/>
        <v>90866.286650000009</v>
      </c>
      <c r="BJ8" s="17">
        <f t="shared" si="29"/>
        <v>90866.286650000009</v>
      </c>
      <c r="BK8" s="17">
        <f t="shared" si="29"/>
        <v>90866.286650000009</v>
      </c>
      <c r="BL8" s="17">
        <f t="shared" si="29"/>
        <v>90866.286650000009</v>
      </c>
      <c r="BM8" s="17">
        <f t="shared" si="29"/>
        <v>90866.286650000009</v>
      </c>
      <c r="BN8" s="17">
        <f t="shared" si="29"/>
        <v>90866.286650000009</v>
      </c>
      <c r="BO8" s="17">
        <f t="shared" si="29"/>
        <v>90866.286650000009</v>
      </c>
      <c r="BP8" s="17">
        <f t="shared" si="29"/>
        <v>90866.286650000009</v>
      </c>
      <c r="BQ8" s="17">
        <f t="shared" si="29"/>
        <v>90866.286650000009</v>
      </c>
      <c r="BR8" s="17">
        <f t="shared" si="29"/>
        <v>90866.286650000009</v>
      </c>
      <c r="BS8" s="17">
        <f t="shared" si="29"/>
        <v>90866.286650000009</v>
      </c>
      <c r="BU8" s="17">
        <f t="shared" ref="BU8:CE8" si="30">BU10+BU53</f>
        <v>100286.93940500001</v>
      </c>
      <c r="BV8" s="17">
        <f t="shared" si="30"/>
        <v>100286.93940500001</v>
      </c>
      <c r="BW8" s="17">
        <f t="shared" si="30"/>
        <v>100286.93940500001</v>
      </c>
      <c r="BX8" s="17">
        <f t="shared" si="30"/>
        <v>100286.93940500001</v>
      </c>
      <c r="BY8" s="17">
        <f t="shared" si="30"/>
        <v>100286.93940500001</v>
      </c>
      <c r="BZ8" s="17">
        <f t="shared" si="30"/>
        <v>100286.93940500001</v>
      </c>
      <c r="CA8" s="17">
        <f t="shared" si="30"/>
        <v>100286.93940500001</v>
      </c>
      <c r="CB8" s="17">
        <f t="shared" si="30"/>
        <v>100286.93940500001</v>
      </c>
      <c r="CC8" s="17">
        <f t="shared" si="30"/>
        <v>100286.93940500001</v>
      </c>
      <c r="CD8" s="17">
        <f t="shared" si="30"/>
        <v>100286.93940500001</v>
      </c>
      <c r="CE8" s="17">
        <f t="shared" si="30"/>
        <v>100286.93940500001</v>
      </c>
      <c r="CF8" s="17">
        <f>CF10+CF53</f>
        <v>100286.93940500001</v>
      </c>
      <c r="CH8" s="304">
        <f>CH10+CH53</f>
        <v>105751.16275800002</v>
      </c>
      <c r="CI8" s="304">
        <f t="shared" ref="CI8:CR8" si="31">CI10+CI53</f>
        <v>105751.16275800002</v>
      </c>
      <c r="CJ8" s="304">
        <f t="shared" si="31"/>
        <v>105751.16275800002</v>
      </c>
      <c r="CK8" s="304">
        <f t="shared" si="31"/>
        <v>105751.16275800002</v>
      </c>
      <c r="CL8" s="304">
        <f t="shared" si="31"/>
        <v>105751.16275800002</v>
      </c>
      <c r="CM8" s="304">
        <f t="shared" si="31"/>
        <v>105751.16275800002</v>
      </c>
      <c r="CN8" s="304">
        <f t="shared" si="31"/>
        <v>105751.16275800002</v>
      </c>
      <c r="CO8" s="304">
        <f t="shared" si="31"/>
        <v>105751.16275800002</v>
      </c>
      <c r="CP8" s="304">
        <f t="shared" si="31"/>
        <v>105751.16275800002</v>
      </c>
      <c r="CQ8" s="304">
        <f t="shared" si="31"/>
        <v>105751.16275800002</v>
      </c>
      <c r="CR8" s="304">
        <f t="shared" si="31"/>
        <v>105751.16275800002</v>
      </c>
      <c r="CS8" s="304">
        <f>CS10+CS53</f>
        <v>105751.16275800002</v>
      </c>
      <c r="CU8" s="322">
        <f>CU10+CU53</f>
        <v>114133.09100880002</v>
      </c>
      <c r="CV8" s="322">
        <f t="shared" ref="CV8:DE8" si="32">CV10+CV53</f>
        <v>114133.09100880002</v>
      </c>
      <c r="CW8" s="322">
        <f t="shared" si="32"/>
        <v>114133.09100880002</v>
      </c>
      <c r="CX8" s="322">
        <f t="shared" si="32"/>
        <v>114133.09100880002</v>
      </c>
      <c r="CY8" s="322">
        <f t="shared" si="32"/>
        <v>114133.09100880002</v>
      </c>
      <c r="CZ8" s="322">
        <f t="shared" si="32"/>
        <v>114133.09100880002</v>
      </c>
      <c r="DA8" s="322">
        <f t="shared" si="32"/>
        <v>114133.09100880002</v>
      </c>
      <c r="DB8" s="322">
        <f t="shared" si="32"/>
        <v>114133.09100880002</v>
      </c>
      <c r="DC8" s="322">
        <f t="shared" si="32"/>
        <v>114133.09100880002</v>
      </c>
      <c r="DD8" s="322">
        <f t="shared" si="32"/>
        <v>114133.09100880002</v>
      </c>
      <c r="DE8" s="322">
        <f t="shared" si="32"/>
        <v>114133.09100880002</v>
      </c>
      <c r="DF8" s="322">
        <f>DF10+DF53</f>
        <v>114133.09100880002</v>
      </c>
    </row>
    <row r="9" spans="1:111" ht="17.25" thickBot="1">
      <c r="A9" s="16" t="s">
        <v>0</v>
      </c>
      <c r="B9" s="15" t="s">
        <v>7</v>
      </c>
      <c r="C9" s="18">
        <v>46235</v>
      </c>
      <c r="D9" s="18">
        <v>46266</v>
      </c>
      <c r="E9" s="18">
        <v>46296</v>
      </c>
      <c r="F9" s="18">
        <v>45962</v>
      </c>
      <c r="G9" s="18">
        <v>46357</v>
      </c>
      <c r="H9" s="18">
        <v>46388</v>
      </c>
      <c r="I9" s="18">
        <v>46419</v>
      </c>
      <c r="J9" s="18">
        <v>46447</v>
      </c>
      <c r="K9" s="18">
        <v>46478</v>
      </c>
      <c r="L9" s="18">
        <v>46508</v>
      </c>
      <c r="M9" s="18">
        <v>46539</v>
      </c>
      <c r="N9" s="18">
        <v>46569</v>
      </c>
      <c r="O9" s="18">
        <v>46600</v>
      </c>
      <c r="P9" s="18">
        <v>46631</v>
      </c>
      <c r="Q9" s="18">
        <v>46661</v>
      </c>
      <c r="R9" s="18">
        <v>46692</v>
      </c>
      <c r="S9" s="18">
        <v>46722</v>
      </c>
      <c r="T9" s="19" t="s">
        <v>205</v>
      </c>
      <c r="U9" s="18">
        <v>46753</v>
      </c>
      <c r="V9" s="18">
        <v>46784</v>
      </c>
      <c r="W9" s="18">
        <v>46813</v>
      </c>
      <c r="X9" s="18">
        <v>46844</v>
      </c>
      <c r="Y9" s="18">
        <v>46874</v>
      </c>
      <c r="Z9" s="18">
        <v>46905</v>
      </c>
      <c r="AA9" s="18">
        <v>46935</v>
      </c>
      <c r="AB9" s="18">
        <v>46966</v>
      </c>
      <c r="AC9" s="18">
        <v>46997</v>
      </c>
      <c r="AD9" s="18">
        <v>47027</v>
      </c>
      <c r="AE9" s="18">
        <v>47058</v>
      </c>
      <c r="AF9" s="18">
        <v>47088</v>
      </c>
      <c r="AG9" s="5"/>
      <c r="AH9" s="18">
        <v>47119</v>
      </c>
      <c r="AI9" s="18">
        <v>47150</v>
      </c>
      <c r="AJ9" s="18">
        <v>47178</v>
      </c>
      <c r="AK9" s="18">
        <v>47209</v>
      </c>
      <c r="AL9" s="18">
        <v>47239</v>
      </c>
      <c r="AM9" s="18">
        <v>47270</v>
      </c>
      <c r="AN9" s="18">
        <v>47300</v>
      </c>
      <c r="AO9" s="18">
        <v>47331</v>
      </c>
      <c r="AP9" s="18">
        <v>47362</v>
      </c>
      <c r="AQ9" s="18">
        <v>47392</v>
      </c>
      <c r="AR9" s="18">
        <v>47423</v>
      </c>
      <c r="AS9" s="18">
        <v>47453</v>
      </c>
      <c r="AU9" s="18">
        <v>47484</v>
      </c>
      <c r="AV9" s="18">
        <v>47515</v>
      </c>
      <c r="AW9" s="18">
        <v>47543</v>
      </c>
      <c r="AX9" s="18">
        <v>47574</v>
      </c>
      <c r="AY9" s="18">
        <v>47604</v>
      </c>
      <c r="AZ9" s="18">
        <v>47635</v>
      </c>
      <c r="BA9" s="18">
        <v>47665</v>
      </c>
      <c r="BB9" s="18">
        <v>47696</v>
      </c>
      <c r="BC9" s="18">
        <v>47727</v>
      </c>
      <c r="BD9" s="18">
        <v>47757</v>
      </c>
      <c r="BE9" s="18">
        <v>47788</v>
      </c>
      <c r="BF9" s="18">
        <v>47818</v>
      </c>
      <c r="BH9" s="18">
        <v>47849</v>
      </c>
      <c r="BI9" s="18">
        <v>47880</v>
      </c>
      <c r="BJ9" s="18">
        <v>47908</v>
      </c>
      <c r="BK9" s="18">
        <v>47939</v>
      </c>
      <c r="BL9" s="18">
        <v>47969</v>
      </c>
      <c r="BM9" s="18">
        <v>48000</v>
      </c>
      <c r="BN9" s="18">
        <v>48030</v>
      </c>
      <c r="BO9" s="18">
        <v>48061</v>
      </c>
      <c r="BP9" s="18">
        <v>48092</v>
      </c>
      <c r="BQ9" s="18">
        <v>48122</v>
      </c>
      <c r="BR9" s="18">
        <v>48153</v>
      </c>
      <c r="BS9" s="18">
        <v>48183</v>
      </c>
      <c r="BU9" s="18">
        <v>48214</v>
      </c>
      <c r="BV9" s="18">
        <v>48245</v>
      </c>
      <c r="BW9" s="18">
        <v>48274</v>
      </c>
      <c r="BX9" s="18">
        <v>48305</v>
      </c>
      <c r="BY9" s="18">
        <v>48335</v>
      </c>
      <c r="BZ9" s="18">
        <v>48366</v>
      </c>
      <c r="CA9" s="18">
        <v>48396</v>
      </c>
      <c r="CB9" s="18">
        <v>48427</v>
      </c>
      <c r="CC9" s="18">
        <v>48458</v>
      </c>
      <c r="CD9" s="18">
        <v>48488</v>
      </c>
      <c r="CE9" s="18">
        <v>48519</v>
      </c>
      <c r="CF9" s="18">
        <v>48549</v>
      </c>
      <c r="CH9" s="18">
        <v>48580</v>
      </c>
      <c r="CI9" s="18">
        <v>48611</v>
      </c>
      <c r="CJ9" s="18">
        <v>48639</v>
      </c>
      <c r="CK9" s="18">
        <v>48670</v>
      </c>
      <c r="CL9" s="18">
        <v>48700</v>
      </c>
      <c r="CM9" s="18">
        <v>48731</v>
      </c>
      <c r="CN9" s="18">
        <v>48761</v>
      </c>
      <c r="CO9" s="18">
        <v>48792</v>
      </c>
      <c r="CP9" s="18">
        <v>48823</v>
      </c>
      <c r="CQ9" s="18">
        <v>48853</v>
      </c>
      <c r="CR9" s="18">
        <v>48884</v>
      </c>
      <c r="CS9" s="18">
        <v>48914</v>
      </c>
      <c r="CU9" s="18">
        <v>48945</v>
      </c>
      <c r="CV9" s="18">
        <v>48976</v>
      </c>
      <c r="CW9" s="18">
        <v>49004</v>
      </c>
      <c r="CX9" s="18">
        <v>49035</v>
      </c>
      <c r="CY9" s="18">
        <v>49065</v>
      </c>
      <c r="CZ9" s="18">
        <v>49096</v>
      </c>
      <c r="DA9" s="18">
        <v>49126</v>
      </c>
      <c r="DB9" s="18">
        <v>49157</v>
      </c>
      <c r="DC9" s="18">
        <v>49188</v>
      </c>
      <c r="DD9" s="18">
        <v>49218</v>
      </c>
      <c r="DE9" s="18">
        <v>49249</v>
      </c>
      <c r="DF9" s="18">
        <v>49279</v>
      </c>
    </row>
    <row r="10" spans="1:111" s="56" customFormat="1" ht="16.5" thickBot="1">
      <c r="A10" s="52">
        <v>1</v>
      </c>
      <c r="B10" s="53" t="s">
        <v>8</v>
      </c>
      <c r="C10" s="342">
        <f>C11+C15+C25+C30+C33+C38+C46+C50</f>
        <v>19000</v>
      </c>
      <c r="D10" s="54">
        <f>D11+D15+D25+D30+D33+D38+D46+D50</f>
        <v>28000</v>
      </c>
      <c r="E10" s="54">
        <f t="shared" ref="E10:G10" si="33">E11+E15+E25+E30+E33+E38+E46+E50</f>
        <v>21480</v>
      </c>
      <c r="F10" s="54">
        <f t="shared" si="33"/>
        <v>44178.766875000001</v>
      </c>
      <c r="G10" s="54">
        <f t="shared" si="33"/>
        <v>44178.766875000001</v>
      </c>
      <c r="H10" s="54">
        <f t="shared" ref="H10:S10" si="34">H11+H15+H25+H30+H33+H38+H46+H50</f>
        <v>44932.146249999998</v>
      </c>
      <c r="I10" s="54">
        <f t="shared" si="34"/>
        <v>44932.146249999998</v>
      </c>
      <c r="J10" s="54">
        <f>J11+J15+J25+J30+J33+J38+J46+J50</f>
        <v>44932.146249999998</v>
      </c>
      <c r="K10" s="54">
        <f t="shared" si="34"/>
        <v>44932.146249999998</v>
      </c>
      <c r="L10" s="54">
        <f t="shared" si="34"/>
        <v>45232.146249999998</v>
      </c>
      <c r="M10" s="54">
        <f t="shared" si="34"/>
        <v>45232.146249999998</v>
      </c>
      <c r="N10" s="54">
        <f t="shared" si="34"/>
        <v>45232.146249999998</v>
      </c>
      <c r="O10" s="54">
        <f t="shared" si="34"/>
        <v>45232.146249999998</v>
      </c>
      <c r="P10" s="54">
        <f t="shared" si="34"/>
        <v>45232.146249999998</v>
      </c>
      <c r="Q10" s="54">
        <f t="shared" si="34"/>
        <v>45232.146249999998</v>
      </c>
      <c r="R10" s="54">
        <f t="shared" si="34"/>
        <v>45232.146249999998</v>
      </c>
      <c r="S10" s="54">
        <f t="shared" si="34"/>
        <v>45232.146249999998</v>
      </c>
      <c r="T10" s="55"/>
      <c r="U10" s="54">
        <f t="shared" ref="U10:AF10" si="35">U11+U15+U25+U30+U33+U38+U46+U50</f>
        <v>50242.815625000003</v>
      </c>
      <c r="V10" s="54">
        <f t="shared" si="35"/>
        <v>50242.815625000003</v>
      </c>
      <c r="W10" s="54">
        <f t="shared" si="35"/>
        <v>50242.815625000003</v>
      </c>
      <c r="X10" s="54">
        <f t="shared" si="35"/>
        <v>50242.815625000003</v>
      </c>
      <c r="Y10" s="54">
        <f t="shared" si="35"/>
        <v>50242.815625000003</v>
      </c>
      <c r="Z10" s="54">
        <f t="shared" si="35"/>
        <v>50242.815625000003</v>
      </c>
      <c r="AA10" s="54">
        <f t="shared" si="35"/>
        <v>50242.815625000003</v>
      </c>
      <c r="AB10" s="54">
        <f t="shared" si="35"/>
        <v>50242.815625000003</v>
      </c>
      <c r="AC10" s="54">
        <f t="shared" si="35"/>
        <v>50242.815625000003</v>
      </c>
      <c r="AD10" s="54">
        <f t="shared" si="35"/>
        <v>50242.815625000003</v>
      </c>
      <c r="AE10" s="54">
        <f t="shared" si="35"/>
        <v>50242.815625000003</v>
      </c>
      <c r="AF10" s="54">
        <f t="shared" si="35"/>
        <v>50242.815625000003</v>
      </c>
      <c r="AG10" s="55"/>
      <c r="AH10" s="54">
        <f t="shared" ref="AH10:AS10" si="36">AH11+AH15+AH25+AH30+AH33+AH38+AH46+AH50</f>
        <v>56330.85500000001</v>
      </c>
      <c r="AI10" s="54">
        <f t="shared" si="36"/>
        <v>56330.85500000001</v>
      </c>
      <c r="AJ10" s="54">
        <f t="shared" si="36"/>
        <v>56330.85500000001</v>
      </c>
      <c r="AK10" s="54">
        <f t="shared" si="36"/>
        <v>56330.85500000001</v>
      </c>
      <c r="AL10" s="54">
        <f t="shared" si="36"/>
        <v>56330.85500000001</v>
      </c>
      <c r="AM10" s="54">
        <f t="shared" si="36"/>
        <v>56330.85500000001</v>
      </c>
      <c r="AN10" s="54">
        <f t="shared" si="36"/>
        <v>56330.85500000001</v>
      </c>
      <c r="AO10" s="54">
        <f t="shared" si="36"/>
        <v>56330.85500000001</v>
      </c>
      <c r="AP10" s="54">
        <f t="shared" si="36"/>
        <v>56330.85500000001</v>
      </c>
      <c r="AQ10" s="54">
        <f t="shared" si="36"/>
        <v>56330.85500000001</v>
      </c>
      <c r="AR10" s="54">
        <f t="shared" si="36"/>
        <v>56330.85500000001</v>
      </c>
      <c r="AS10" s="54">
        <f t="shared" si="36"/>
        <v>56330.85500000001</v>
      </c>
      <c r="AU10" s="54">
        <f t="shared" ref="AU10" si="37">AU11+AU15+AU25+AU30+AU33+AU38+AU46+AU50</f>
        <v>61734.224250000014</v>
      </c>
      <c r="AV10" s="54">
        <f t="shared" ref="AV10" si="38">AV11+AV15+AV25+AV30+AV33+AV38+AV46+AV50</f>
        <v>61734.224250000014</v>
      </c>
      <c r="AW10" s="54">
        <f t="shared" ref="AW10" si="39">AW11+AW15+AW25+AW30+AW33+AW38+AW46+AW50</f>
        <v>61734.224250000014</v>
      </c>
      <c r="AX10" s="54">
        <f t="shared" ref="AX10" si="40">AX11+AX15+AX25+AX30+AX33+AX38+AX46+AX50</f>
        <v>61734.224250000014</v>
      </c>
      <c r="AY10" s="54">
        <f t="shared" ref="AY10" si="41">AY11+AY15+AY25+AY30+AY33+AY38+AY46+AY50</f>
        <v>61734.224250000014</v>
      </c>
      <c r="AZ10" s="54">
        <f t="shared" ref="AZ10" si="42">AZ11+AZ15+AZ25+AZ30+AZ33+AZ38+AZ46+AZ50</f>
        <v>61734.224250000014</v>
      </c>
      <c r="BA10" s="54">
        <f t="shared" ref="BA10" si="43">BA11+BA15+BA25+BA30+BA33+BA38+BA46+BA50</f>
        <v>61734.224250000014</v>
      </c>
      <c r="BB10" s="54">
        <f t="shared" ref="BB10" si="44">BB11+BB15+BB25+BB30+BB33+BB38+BB46+BB50</f>
        <v>61734.224250000014</v>
      </c>
      <c r="BC10" s="54">
        <f t="shared" ref="BC10" si="45">BC11+BC15+BC25+BC30+BC33+BC38+BC46+BC50</f>
        <v>61734.224250000014</v>
      </c>
      <c r="BD10" s="54">
        <f t="shared" ref="BD10" si="46">BD11+BD15+BD25+BD30+BD33+BD38+BD46+BD50</f>
        <v>61734.224250000014</v>
      </c>
      <c r="BE10" s="54">
        <f t="shared" ref="BE10" si="47">BE11+BE15+BE25+BE30+BE33+BE38+BE46+BE50</f>
        <v>61734.224250000014</v>
      </c>
      <c r="BF10" s="54">
        <f t="shared" ref="BF10" si="48">BF11+BF15+BF25+BF30+BF33+BF38+BF46+BF50</f>
        <v>61734.224250000014</v>
      </c>
      <c r="BH10" s="54">
        <f t="shared" ref="BH10" si="49">BH11+BH15+BH25+BH30+BH33+BH38+BH46+BH50</f>
        <v>68643.333400000018</v>
      </c>
      <c r="BI10" s="54">
        <f t="shared" ref="BI10" si="50">BI11+BI15+BI25+BI30+BI33+BI38+BI46+BI50</f>
        <v>68643.333400000018</v>
      </c>
      <c r="BJ10" s="54">
        <f t="shared" ref="BJ10" si="51">BJ11+BJ15+BJ25+BJ30+BJ33+BJ38+BJ46+BJ50</f>
        <v>68643.333400000018</v>
      </c>
      <c r="BK10" s="54">
        <f t="shared" ref="BK10" si="52">BK11+BK15+BK25+BK30+BK33+BK38+BK46+BK50</f>
        <v>68643.333400000018</v>
      </c>
      <c r="BL10" s="54">
        <f t="shared" ref="BL10" si="53">BL11+BL15+BL25+BL30+BL33+BL38+BL46+BL50</f>
        <v>68643.333400000018</v>
      </c>
      <c r="BM10" s="54">
        <f t="shared" ref="BM10" si="54">BM11+BM15+BM25+BM30+BM33+BM38+BM46+BM50</f>
        <v>68643.333400000018</v>
      </c>
      <c r="BN10" s="54">
        <f t="shared" ref="BN10" si="55">BN11+BN15+BN25+BN30+BN33+BN38+BN46+BN50</f>
        <v>68643.333400000018</v>
      </c>
      <c r="BO10" s="54">
        <f t="shared" ref="BO10" si="56">BO11+BO15+BO25+BO30+BO33+BO38+BO46+BO50</f>
        <v>68643.333400000018</v>
      </c>
      <c r="BP10" s="54">
        <f t="shared" ref="BP10" si="57">BP11+BP15+BP25+BP30+BP33+BP38+BP46+BP50</f>
        <v>68643.333400000018</v>
      </c>
      <c r="BQ10" s="54">
        <f t="shared" ref="BQ10" si="58">BQ11+BQ15+BQ25+BQ30+BQ33+BQ38+BQ46+BQ50</f>
        <v>68643.333400000018</v>
      </c>
      <c r="BR10" s="54">
        <f t="shared" ref="BR10" si="59">BR11+BR15+BR25+BR30+BR33+BR38+BR46+BR50</f>
        <v>68643.333400000018</v>
      </c>
      <c r="BS10" s="54">
        <f t="shared" ref="BS10" si="60">BS11+BS15+BS25+BS30+BS33+BS38+BS46+BS50</f>
        <v>68643.333400000018</v>
      </c>
      <c r="BU10" s="54">
        <f t="shared" ref="BU10" si="61">BU11+BU15+BU25+BU30+BU33+BU38+BU46+BU50</f>
        <v>74361.427280000018</v>
      </c>
      <c r="BV10" s="54">
        <f t="shared" ref="BV10" si="62">BV11+BV15+BV25+BV30+BV33+BV38+BV46+BV50</f>
        <v>74361.427280000018</v>
      </c>
      <c r="BW10" s="54">
        <f t="shared" ref="BW10" si="63">BW11+BW15+BW25+BW30+BW33+BW38+BW46+BW50</f>
        <v>74361.427280000018</v>
      </c>
      <c r="BX10" s="54">
        <f t="shared" ref="BX10" si="64">BX11+BX15+BX25+BX30+BX33+BX38+BX46+BX50</f>
        <v>74361.427280000018</v>
      </c>
      <c r="BY10" s="54">
        <f t="shared" ref="BY10" si="65">BY11+BY15+BY25+BY30+BY33+BY38+BY46+BY50</f>
        <v>74361.427280000018</v>
      </c>
      <c r="BZ10" s="54">
        <f t="shared" ref="BZ10" si="66">BZ11+BZ15+BZ25+BZ30+BZ33+BZ38+BZ46+BZ50</f>
        <v>74361.427280000018</v>
      </c>
      <c r="CA10" s="54">
        <f t="shared" ref="CA10" si="67">CA11+CA15+CA25+CA30+CA33+CA38+CA46+CA50</f>
        <v>74361.427280000018</v>
      </c>
      <c r="CB10" s="54">
        <f t="shared" ref="CB10" si="68">CB11+CB15+CB25+CB30+CB33+CB38+CB46+CB50</f>
        <v>74361.427280000018</v>
      </c>
      <c r="CC10" s="54">
        <f t="shared" ref="CC10" si="69">CC11+CC15+CC25+CC30+CC33+CC38+CC46+CC50</f>
        <v>74361.427280000018</v>
      </c>
      <c r="CD10" s="54">
        <f t="shared" ref="CD10" si="70">CD11+CD15+CD25+CD30+CD33+CD38+CD46+CD50</f>
        <v>74361.427280000018</v>
      </c>
      <c r="CE10" s="54">
        <f t="shared" ref="CE10" si="71">CE11+CE15+CE25+CE30+CE33+CE38+CE46+CE50</f>
        <v>74361.427280000018</v>
      </c>
      <c r="CF10" s="54">
        <f>CF11+CF15+CF25+CF30+CF33+CF38+CF46+CF50</f>
        <v>74361.427280000018</v>
      </c>
      <c r="CH10" s="375">
        <f>CH11+CH15+CH25+CH30+CH33+CH38+CH46+CH50</f>
        <v>79825.650633000027</v>
      </c>
      <c r="CI10" s="375">
        <f t="shared" ref="CI10:CR10" si="72">CI11+CI15+CI25+CI30+CI33+CI38+CI46+CI50</f>
        <v>79825.650633000027</v>
      </c>
      <c r="CJ10" s="375">
        <f t="shared" si="72"/>
        <v>79825.650633000027</v>
      </c>
      <c r="CK10" s="375">
        <f t="shared" si="72"/>
        <v>79825.650633000027</v>
      </c>
      <c r="CL10" s="375">
        <f t="shared" si="72"/>
        <v>79825.650633000027</v>
      </c>
      <c r="CM10" s="375">
        <f t="shared" si="72"/>
        <v>79825.650633000027</v>
      </c>
      <c r="CN10" s="375">
        <f t="shared" si="72"/>
        <v>79825.650633000027</v>
      </c>
      <c r="CO10" s="375">
        <f t="shared" si="72"/>
        <v>79825.650633000027</v>
      </c>
      <c r="CP10" s="375">
        <f t="shared" si="72"/>
        <v>79825.650633000027</v>
      </c>
      <c r="CQ10" s="375">
        <f t="shared" si="72"/>
        <v>79825.650633000027</v>
      </c>
      <c r="CR10" s="375">
        <f t="shared" si="72"/>
        <v>79825.650633000027</v>
      </c>
      <c r="CS10" s="375">
        <f>CS11+CS15+CS25+CS30+CS33+CS38+CS46+CS50</f>
        <v>79825.650633000027</v>
      </c>
      <c r="CT10" s="376"/>
      <c r="CU10" s="375">
        <f>CU11+CU15+CU25+CU30+CU33+CU38+CU46+CU50</f>
        <v>86348.19944630003</v>
      </c>
      <c r="CV10" s="375">
        <f t="shared" ref="CV10:DF10" si="73">CV11+CV15+CV25+CV30+CV33+CV38+CV46+CV50</f>
        <v>86348.19944630003</v>
      </c>
      <c r="CW10" s="375">
        <f t="shared" si="73"/>
        <v>86348.19944630003</v>
      </c>
      <c r="CX10" s="375">
        <f t="shared" si="73"/>
        <v>86348.19944630003</v>
      </c>
      <c r="CY10" s="375">
        <f t="shared" si="73"/>
        <v>86348.19944630003</v>
      </c>
      <c r="CZ10" s="375">
        <f t="shared" si="73"/>
        <v>86348.19944630003</v>
      </c>
      <c r="DA10" s="375">
        <f t="shared" si="73"/>
        <v>86348.19944630003</v>
      </c>
      <c r="DB10" s="375">
        <f t="shared" si="73"/>
        <v>86348.19944630003</v>
      </c>
      <c r="DC10" s="375">
        <f t="shared" si="73"/>
        <v>86348.19944630003</v>
      </c>
      <c r="DD10" s="375">
        <f t="shared" si="73"/>
        <v>86348.19944630003</v>
      </c>
      <c r="DE10" s="375">
        <f t="shared" si="73"/>
        <v>86348.19944630003</v>
      </c>
      <c r="DF10" s="375">
        <f t="shared" si="73"/>
        <v>86348.19944630003</v>
      </c>
    </row>
    <row r="11" spans="1:111" ht="15.75" thickBot="1">
      <c r="A11" s="16" t="s">
        <v>9</v>
      </c>
      <c r="B11" s="10" t="s">
        <v>216</v>
      </c>
      <c r="C11">
        <f>C12+C13+C14</f>
        <v>19000</v>
      </c>
      <c r="D11" s="27">
        <f>D12+D13+D14</f>
        <v>19000</v>
      </c>
      <c r="E11" s="27">
        <f t="shared" ref="E11:G11" si="74">E12+E13+E14</f>
        <v>19000</v>
      </c>
      <c r="F11" s="27">
        <f t="shared" si="74"/>
        <v>19000</v>
      </c>
      <c r="G11" s="27">
        <f t="shared" si="74"/>
        <v>19000</v>
      </c>
      <c r="H11" s="27">
        <f t="shared" ref="H11:S11" si="75">H12+H13+H14</f>
        <v>19000</v>
      </c>
      <c r="I11" s="27">
        <f t="shared" si="75"/>
        <v>19000</v>
      </c>
      <c r="J11" s="27">
        <f>J12+J13+J14</f>
        <v>19000</v>
      </c>
      <c r="K11" s="27">
        <f t="shared" si="75"/>
        <v>19000</v>
      </c>
      <c r="L11" s="27">
        <f t="shared" si="75"/>
        <v>19000</v>
      </c>
      <c r="M11" s="27">
        <f t="shared" si="75"/>
        <v>19000</v>
      </c>
      <c r="N11" s="27">
        <f t="shared" si="75"/>
        <v>19000</v>
      </c>
      <c r="O11" s="27">
        <f t="shared" si="75"/>
        <v>19000</v>
      </c>
      <c r="P11" s="27">
        <f t="shared" si="75"/>
        <v>19000</v>
      </c>
      <c r="Q11" s="27">
        <f t="shared" si="75"/>
        <v>19000</v>
      </c>
      <c r="R11" s="27">
        <f t="shared" si="75"/>
        <v>19000</v>
      </c>
      <c r="S11" s="27">
        <f t="shared" si="75"/>
        <v>19000</v>
      </c>
      <c r="T11" s="5"/>
      <c r="U11" s="27">
        <f t="shared" ref="U11:AF11" si="76">U12+U13+U14</f>
        <v>20900</v>
      </c>
      <c r="V11" s="27">
        <f t="shared" si="76"/>
        <v>20900</v>
      </c>
      <c r="W11" s="27">
        <f t="shared" si="76"/>
        <v>20900</v>
      </c>
      <c r="X11" s="27">
        <f t="shared" si="76"/>
        <v>20900</v>
      </c>
      <c r="Y11" s="27">
        <f t="shared" si="76"/>
        <v>20900</v>
      </c>
      <c r="Z11" s="27">
        <f t="shared" si="76"/>
        <v>20900</v>
      </c>
      <c r="AA11" s="27">
        <f t="shared" si="76"/>
        <v>20900</v>
      </c>
      <c r="AB11" s="27">
        <f t="shared" si="76"/>
        <v>20900</v>
      </c>
      <c r="AC11" s="27">
        <f t="shared" si="76"/>
        <v>20900</v>
      </c>
      <c r="AD11" s="27">
        <f t="shared" si="76"/>
        <v>20900</v>
      </c>
      <c r="AE11" s="27">
        <f t="shared" si="76"/>
        <v>20900</v>
      </c>
      <c r="AF11" s="27">
        <f t="shared" si="76"/>
        <v>20900</v>
      </c>
      <c r="AG11" s="5"/>
      <c r="AH11" s="27">
        <f t="shared" ref="AH11:AS11" si="77">AH12+AH13+AH14</f>
        <v>22990.000000000004</v>
      </c>
      <c r="AI11" s="27">
        <f t="shared" si="77"/>
        <v>22990.000000000004</v>
      </c>
      <c r="AJ11" s="27">
        <f t="shared" si="77"/>
        <v>22990.000000000004</v>
      </c>
      <c r="AK11" s="27">
        <f t="shared" si="77"/>
        <v>22990.000000000004</v>
      </c>
      <c r="AL11" s="27">
        <f t="shared" si="77"/>
        <v>22990.000000000004</v>
      </c>
      <c r="AM11" s="27">
        <f t="shared" si="77"/>
        <v>22990.000000000004</v>
      </c>
      <c r="AN11" s="27">
        <f t="shared" si="77"/>
        <v>22990.000000000004</v>
      </c>
      <c r="AO11" s="27">
        <f t="shared" si="77"/>
        <v>22990.000000000004</v>
      </c>
      <c r="AP11" s="27">
        <f t="shared" si="77"/>
        <v>22990.000000000004</v>
      </c>
      <c r="AQ11" s="27">
        <f t="shared" si="77"/>
        <v>22990.000000000004</v>
      </c>
      <c r="AR11" s="27">
        <f t="shared" si="77"/>
        <v>22990.000000000004</v>
      </c>
      <c r="AS11" s="27">
        <f t="shared" si="77"/>
        <v>22990.000000000004</v>
      </c>
      <c r="AU11" s="27">
        <f t="shared" ref="AU11" si="78">AU12+AU13+AU14</f>
        <v>25289.000000000007</v>
      </c>
      <c r="AV11" s="27">
        <f t="shared" ref="AV11" si="79">AV12+AV13+AV14</f>
        <v>25289.000000000007</v>
      </c>
      <c r="AW11" s="27">
        <f t="shared" ref="AW11" si="80">AW12+AW13+AW14</f>
        <v>25289.000000000007</v>
      </c>
      <c r="AX11" s="27">
        <f t="shared" ref="AX11" si="81">AX12+AX13+AX14</f>
        <v>25289.000000000007</v>
      </c>
      <c r="AY11" s="27">
        <f t="shared" ref="AY11" si="82">AY12+AY13+AY14</f>
        <v>25289.000000000007</v>
      </c>
      <c r="AZ11" s="27">
        <f t="shared" ref="AZ11" si="83">AZ12+AZ13+AZ14</f>
        <v>25289.000000000007</v>
      </c>
      <c r="BA11" s="27">
        <f t="shared" ref="BA11" si="84">BA12+BA13+BA14</f>
        <v>25289.000000000007</v>
      </c>
      <c r="BB11" s="27">
        <f t="shared" ref="BB11" si="85">BB12+BB13+BB14</f>
        <v>25289.000000000007</v>
      </c>
      <c r="BC11" s="27">
        <f t="shared" ref="BC11" si="86">BC12+BC13+BC14</f>
        <v>25289.000000000007</v>
      </c>
      <c r="BD11" s="27">
        <f t="shared" ref="BD11" si="87">BD12+BD13+BD14</f>
        <v>25289.000000000007</v>
      </c>
      <c r="BE11" s="27">
        <f t="shared" ref="BE11" si="88">BE12+BE13+BE14</f>
        <v>25289.000000000007</v>
      </c>
      <c r="BF11" s="27">
        <f t="shared" ref="BF11" si="89">BF12+BF13+BF14</f>
        <v>25289.000000000007</v>
      </c>
      <c r="BH11" s="27">
        <f t="shared" ref="BH11" si="90">BH12+BH13+BH14</f>
        <v>27817.900000000009</v>
      </c>
      <c r="BI11" s="27">
        <f t="shared" ref="BI11" si="91">BI12+BI13+BI14</f>
        <v>27817.900000000009</v>
      </c>
      <c r="BJ11" s="27">
        <f t="shared" ref="BJ11" si="92">BJ12+BJ13+BJ14</f>
        <v>27817.900000000009</v>
      </c>
      <c r="BK11" s="27">
        <f t="shared" ref="BK11" si="93">BK12+BK13+BK14</f>
        <v>27817.900000000009</v>
      </c>
      <c r="BL11" s="27">
        <f t="shared" ref="BL11" si="94">BL12+BL13+BL14</f>
        <v>27817.900000000009</v>
      </c>
      <c r="BM11" s="27">
        <f t="shared" ref="BM11" si="95">BM12+BM13+BM14</f>
        <v>27817.900000000009</v>
      </c>
      <c r="BN11" s="27">
        <f t="shared" ref="BN11" si="96">BN12+BN13+BN14</f>
        <v>27817.900000000009</v>
      </c>
      <c r="BO11" s="27">
        <f t="shared" ref="BO11" si="97">BO12+BO13+BO14</f>
        <v>27817.900000000009</v>
      </c>
      <c r="BP11" s="27">
        <f t="shared" ref="BP11" si="98">BP12+BP13+BP14</f>
        <v>27817.900000000009</v>
      </c>
      <c r="BQ11" s="27">
        <f t="shared" ref="BQ11" si="99">BQ12+BQ13+BQ14</f>
        <v>27817.900000000009</v>
      </c>
      <c r="BR11" s="27">
        <f t="shared" ref="BR11" si="100">BR12+BR13+BR14</f>
        <v>27817.900000000009</v>
      </c>
      <c r="BS11" s="27">
        <f t="shared" ref="BS11" si="101">BS12+BS13+BS14</f>
        <v>27817.900000000009</v>
      </c>
      <c r="BU11" s="27">
        <f t="shared" ref="BU11" si="102">BU12+BU13+BU14</f>
        <v>30599.690000000013</v>
      </c>
      <c r="BV11" s="27">
        <f t="shared" ref="BV11" si="103">BV12+BV13+BV14</f>
        <v>30599.690000000013</v>
      </c>
      <c r="BW11" s="27">
        <f t="shared" ref="BW11" si="104">BW12+BW13+BW14</f>
        <v>30599.690000000013</v>
      </c>
      <c r="BX11" s="27">
        <f t="shared" ref="BX11" si="105">BX12+BX13+BX14</f>
        <v>30599.690000000013</v>
      </c>
      <c r="BY11" s="27">
        <f t="shared" ref="BY11" si="106">BY12+BY13+BY14</f>
        <v>30599.690000000013</v>
      </c>
      <c r="BZ11" s="27">
        <f t="shared" ref="BZ11" si="107">BZ12+BZ13+BZ14</f>
        <v>30599.690000000013</v>
      </c>
      <c r="CA11" s="27">
        <f t="shared" ref="CA11" si="108">CA12+CA13+CA14</f>
        <v>30599.690000000013</v>
      </c>
      <c r="CB11" s="27">
        <f t="shared" ref="CB11" si="109">CB12+CB13+CB14</f>
        <v>30599.690000000013</v>
      </c>
      <c r="CC11" s="27">
        <f t="shared" ref="CC11" si="110">CC12+CC13+CC14</f>
        <v>30599.690000000013</v>
      </c>
      <c r="CD11" s="27">
        <f t="shared" ref="CD11" si="111">CD12+CD13+CD14</f>
        <v>30599.690000000013</v>
      </c>
      <c r="CE11" s="27">
        <f t="shared" ref="CE11" si="112">CE12+CE13+CE14</f>
        <v>30599.690000000013</v>
      </c>
      <c r="CF11" s="27">
        <f>CF12+CF13+CF14</f>
        <v>30599.690000000013</v>
      </c>
      <c r="CH11" s="305">
        <f>CH12+CH13+CH14</f>
        <v>33659.659000000014</v>
      </c>
      <c r="CI11" s="305">
        <f t="shared" ref="CI11:CS11" si="113">CI12+CI13+CI14</f>
        <v>33659.659000000014</v>
      </c>
      <c r="CJ11" s="305">
        <f t="shared" si="113"/>
        <v>33659.659000000014</v>
      </c>
      <c r="CK11" s="305">
        <f t="shared" si="113"/>
        <v>33659.659000000014</v>
      </c>
      <c r="CL11" s="305">
        <f t="shared" si="113"/>
        <v>33659.659000000014</v>
      </c>
      <c r="CM11" s="305">
        <f t="shared" si="113"/>
        <v>33659.659000000014</v>
      </c>
      <c r="CN11" s="305">
        <f t="shared" si="113"/>
        <v>33659.659000000014</v>
      </c>
      <c r="CO11" s="305">
        <f t="shared" si="113"/>
        <v>33659.659000000014</v>
      </c>
      <c r="CP11" s="305">
        <f t="shared" si="113"/>
        <v>33659.659000000014</v>
      </c>
      <c r="CQ11" s="305">
        <f t="shared" si="113"/>
        <v>33659.659000000014</v>
      </c>
      <c r="CR11" s="305">
        <f t="shared" si="113"/>
        <v>33659.659000000014</v>
      </c>
      <c r="CS11" s="305">
        <f t="shared" si="113"/>
        <v>33659.659000000014</v>
      </c>
      <c r="CU11" s="323">
        <f>CU12+CU13+CU14</f>
        <v>37025.624900000017</v>
      </c>
      <c r="CV11" s="323">
        <f t="shared" ref="CV11:DE11" si="114">CV12+CV13+CV14</f>
        <v>37025.624900000017</v>
      </c>
      <c r="CW11" s="323">
        <f t="shared" si="114"/>
        <v>37025.624900000017</v>
      </c>
      <c r="CX11" s="323">
        <f t="shared" si="114"/>
        <v>37025.624900000017</v>
      </c>
      <c r="CY11" s="323">
        <f t="shared" si="114"/>
        <v>37025.624900000017</v>
      </c>
      <c r="CZ11" s="323">
        <f t="shared" si="114"/>
        <v>37025.624900000017</v>
      </c>
      <c r="DA11" s="323">
        <f t="shared" si="114"/>
        <v>37025.624900000017</v>
      </c>
      <c r="DB11" s="323">
        <f t="shared" si="114"/>
        <v>37025.624900000017</v>
      </c>
      <c r="DC11" s="323">
        <f t="shared" si="114"/>
        <v>37025.624900000017</v>
      </c>
      <c r="DD11" s="323">
        <f t="shared" si="114"/>
        <v>37025.624900000017</v>
      </c>
      <c r="DE11" s="323">
        <f t="shared" si="114"/>
        <v>37025.624900000017</v>
      </c>
      <c r="DF11" s="323">
        <f>DF12+DF13+DF14</f>
        <v>37025.624900000017</v>
      </c>
    </row>
    <row r="12" spans="1:111" ht="15" thickBot="1">
      <c r="A12" s="19" t="s">
        <v>10</v>
      </c>
      <c r="B12" s="5" t="s">
        <v>216</v>
      </c>
      <c r="C12" s="47">
        <f>Financiamento!B2</f>
        <v>19000</v>
      </c>
      <c r="D12" s="255">
        <f>Financiamento!B2</f>
        <v>19000</v>
      </c>
      <c r="E12" s="255">
        <f>Financiamento!B2</f>
        <v>19000</v>
      </c>
      <c r="F12" s="255">
        <f>Financiamento!B2</f>
        <v>19000</v>
      </c>
      <c r="G12" s="255">
        <f>Financiamento!B2</f>
        <v>19000</v>
      </c>
      <c r="H12" s="26">
        <f>Financiamento!$B$2</f>
        <v>19000</v>
      </c>
      <c r="I12" s="26">
        <f>Financiamento!$B$2</f>
        <v>19000</v>
      </c>
      <c r="J12" s="26">
        <f>Financiamento!$B$2</f>
        <v>19000</v>
      </c>
      <c r="K12" s="26">
        <f>Financiamento!$B$2</f>
        <v>19000</v>
      </c>
      <c r="L12" s="26">
        <f>Financiamento!$B$2</f>
        <v>19000</v>
      </c>
      <c r="M12" s="26">
        <f>Financiamento!$B$2</f>
        <v>19000</v>
      </c>
      <c r="N12" s="26">
        <f>Financiamento!$B$2</f>
        <v>19000</v>
      </c>
      <c r="O12" s="26">
        <f>Financiamento!$B$2</f>
        <v>19000</v>
      </c>
      <c r="P12" s="26">
        <f>Financiamento!$B$2</f>
        <v>19000</v>
      </c>
      <c r="Q12" s="26">
        <f>Financiamento!$B$2</f>
        <v>19000</v>
      </c>
      <c r="R12" s="26">
        <f>Financiamento!$B$2</f>
        <v>19000</v>
      </c>
      <c r="S12" s="26">
        <f>Financiamento!$B$2</f>
        <v>19000</v>
      </c>
      <c r="T12" s="19">
        <v>1.1000000000000001</v>
      </c>
      <c r="U12" s="26">
        <f>Financiamento!$B$2*$T$12</f>
        <v>20900</v>
      </c>
      <c r="V12" s="26">
        <f>Financiamento!$B$2*$T$12</f>
        <v>20900</v>
      </c>
      <c r="W12" s="26">
        <f>Financiamento!$B$2*$T$12</f>
        <v>20900</v>
      </c>
      <c r="X12" s="26">
        <f>Financiamento!$B$2*$T$12</f>
        <v>20900</v>
      </c>
      <c r="Y12" s="26">
        <f>Financiamento!$B$2*$T$12</f>
        <v>20900</v>
      </c>
      <c r="Z12" s="26">
        <f>Financiamento!$B$2*$T$12</f>
        <v>20900</v>
      </c>
      <c r="AA12" s="26">
        <f>Financiamento!$B$2*$T$12</f>
        <v>20900</v>
      </c>
      <c r="AB12" s="26">
        <f>Financiamento!$B$2*$T$12</f>
        <v>20900</v>
      </c>
      <c r="AC12" s="26">
        <f>Financiamento!$B$2*$T$12</f>
        <v>20900</v>
      </c>
      <c r="AD12" s="26">
        <f>Financiamento!$B$2*$T$12</f>
        <v>20900</v>
      </c>
      <c r="AE12" s="26">
        <f>Financiamento!$B$2*$T$12</f>
        <v>20900</v>
      </c>
      <c r="AF12" s="26">
        <f>Financiamento!$B$2*$T$12</f>
        <v>20900</v>
      </c>
      <c r="AG12" s="19">
        <v>1.1000000000000001</v>
      </c>
      <c r="AH12" s="26">
        <f>$AF$12*$AG$12</f>
        <v>22990.000000000004</v>
      </c>
      <c r="AI12" s="26">
        <f t="shared" ref="AI12:AS12" si="115">$AF$12*$AG$12</f>
        <v>22990.000000000004</v>
      </c>
      <c r="AJ12" s="26">
        <f t="shared" si="115"/>
        <v>22990.000000000004</v>
      </c>
      <c r="AK12" s="26">
        <f t="shared" si="115"/>
        <v>22990.000000000004</v>
      </c>
      <c r="AL12" s="26">
        <f t="shared" si="115"/>
        <v>22990.000000000004</v>
      </c>
      <c r="AM12" s="26">
        <f t="shared" si="115"/>
        <v>22990.000000000004</v>
      </c>
      <c r="AN12" s="26">
        <f t="shared" si="115"/>
        <v>22990.000000000004</v>
      </c>
      <c r="AO12" s="26">
        <f t="shared" si="115"/>
        <v>22990.000000000004</v>
      </c>
      <c r="AP12" s="26">
        <f t="shared" si="115"/>
        <v>22990.000000000004</v>
      </c>
      <c r="AQ12" s="26">
        <f t="shared" si="115"/>
        <v>22990.000000000004</v>
      </c>
      <c r="AR12" s="26">
        <f t="shared" si="115"/>
        <v>22990.000000000004</v>
      </c>
      <c r="AS12" s="26">
        <f t="shared" si="115"/>
        <v>22990.000000000004</v>
      </c>
      <c r="AT12" s="28">
        <v>1.1000000000000001</v>
      </c>
      <c r="AU12" s="26">
        <f>$AS$12*$AT$12</f>
        <v>25289.000000000007</v>
      </c>
      <c r="AV12" s="26">
        <f t="shared" ref="AV12:BF12" si="116">$AS$12*$AT$12</f>
        <v>25289.000000000007</v>
      </c>
      <c r="AW12" s="26">
        <f t="shared" si="116"/>
        <v>25289.000000000007</v>
      </c>
      <c r="AX12" s="26">
        <f t="shared" si="116"/>
        <v>25289.000000000007</v>
      </c>
      <c r="AY12" s="26">
        <f t="shared" si="116"/>
        <v>25289.000000000007</v>
      </c>
      <c r="AZ12" s="26">
        <f t="shared" si="116"/>
        <v>25289.000000000007</v>
      </c>
      <c r="BA12" s="26">
        <f t="shared" si="116"/>
        <v>25289.000000000007</v>
      </c>
      <c r="BB12" s="26">
        <f t="shared" si="116"/>
        <v>25289.000000000007</v>
      </c>
      <c r="BC12" s="26">
        <f t="shared" si="116"/>
        <v>25289.000000000007</v>
      </c>
      <c r="BD12" s="26">
        <f t="shared" si="116"/>
        <v>25289.000000000007</v>
      </c>
      <c r="BE12" s="26">
        <f t="shared" si="116"/>
        <v>25289.000000000007</v>
      </c>
      <c r="BF12" s="26">
        <f t="shared" si="116"/>
        <v>25289.000000000007</v>
      </c>
      <c r="BG12" s="28">
        <v>1.1000000000000001</v>
      </c>
      <c r="BH12" s="26">
        <f>$BF$12*$BG$12</f>
        <v>27817.900000000009</v>
      </c>
      <c r="BI12" s="26">
        <f t="shared" ref="BI12:BS12" si="117">$BF$12*$BG$12</f>
        <v>27817.900000000009</v>
      </c>
      <c r="BJ12" s="26">
        <f t="shared" si="117"/>
        <v>27817.900000000009</v>
      </c>
      <c r="BK12" s="26">
        <f t="shared" si="117"/>
        <v>27817.900000000009</v>
      </c>
      <c r="BL12" s="26">
        <f t="shared" si="117"/>
        <v>27817.900000000009</v>
      </c>
      <c r="BM12" s="26">
        <f t="shared" si="117"/>
        <v>27817.900000000009</v>
      </c>
      <c r="BN12" s="26">
        <f t="shared" si="117"/>
        <v>27817.900000000009</v>
      </c>
      <c r="BO12" s="26">
        <f t="shared" si="117"/>
        <v>27817.900000000009</v>
      </c>
      <c r="BP12" s="26">
        <f t="shared" si="117"/>
        <v>27817.900000000009</v>
      </c>
      <c r="BQ12" s="26">
        <f t="shared" si="117"/>
        <v>27817.900000000009</v>
      </c>
      <c r="BR12" s="26">
        <f t="shared" si="117"/>
        <v>27817.900000000009</v>
      </c>
      <c r="BS12" s="26">
        <f t="shared" si="117"/>
        <v>27817.900000000009</v>
      </c>
      <c r="BT12" s="28">
        <v>1.1000000000000001</v>
      </c>
      <c r="BU12" s="26">
        <f>$BS$12*$BT$12</f>
        <v>30599.690000000013</v>
      </c>
      <c r="BV12" s="26">
        <f t="shared" ref="BV12:CE12" si="118">$BS$12*$BT$12</f>
        <v>30599.690000000013</v>
      </c>
      <c r="BW12" s="26">
        <f t="shared" si="118"/>
        <v>30599.690000000013</v>
      </c>
      <c r="BX12" s="26">
        <f t="shared" si="118"/>
        <v>30599.690000000013</v>
      </c>
      <c r="BY12" s="26">
        <f t="shared" si="118"/>
        <v>30599.690000000013</v>
      </c>
      <c r="BZ12" s="26">
        <f t="shared" si="118"/>
        <v>30599.690000000013</v>
      </c>
      <c r="CA12" s="26">
        <f t="shared" si="118"/>
        <v>30599.690000000013</v>
      </c>
      <c r="CB12" s="26">
        <f t="shared" si="118"/>
        <v>30599.690000000013</v>
      </c>
      <c r="CC12" s="26">
        <f t="shared" si="118"/>
        <v>30599.690000000013</v>
      </c>
      <c r="CD12" s="26">
        <f t="shared" si="118"/>
        <v>30599.690000000013</v>
      </c>
      <c r="CE12" s="26">
        <f t="shared" si="118"/>
        <v>30599.690000000013</v>
      </c>
      <c r="CF12" s="26">
        <f>$BS$12*$BT$12</f>
        <v>30599.690000000013</v>
      </c>
      <c r="CG12" s="28">
        <v>1.1000000000000001</v>
      </c>
      <c r="CH12" s="302">
        <f>CF12*CG12</f>
        <v>33659.659000000014</v>
      </c>
      <c r="CI12" s="302">
        <f t="shared" ref="CI12:CS12" si="119">CH12</f>
        <v>33659.659000000014</v>
      </c>
      <c r="CJ12" s="302">
        <f t="shared" si="119"/>
        <v>33659.659000000014</v>
      </c>
      <c r="CK12" s="302">
        <f t="shared" si="119"/>
        <v>33659.659000000014</v>
      </c>
      <c r="CL12" s="302">
        <f t="shared" si="119"/>
        <v>33659.659000000014</v>
      </c>
      <c r="CM12" s="302">
        <f t="shared" si="119"/>
        <v>33659.659000000014</v>
      </c>
      <c r="CN12" s="302">
        <f t="shared" si="119"/>
        <v>33659.659000000014</v>
      </c>
      <c r="CO12" s="302">
        <f t="shared" si="119"/>
        <v>33659.659000000014</v>
      </c>
      <c r="CP12" s="302">
        <f t="shared" si="119"/>
        <v>33659.659000000014</v>
      </c>
      <c r="CQ12" s="302">
        <f t="shared" si="119"/>
        <v>33659.659000000014</v>
      </c>
      <c r="CR12" s="302">
        <f t="shared" si="119"/>
        <v>33659.659000000014</v>
      </c>
      <c r="CS12" s="302">
        <f t="shared" si="119"/>
        <v>33659.659000000014</v>
      </c>
      <c r="CT12" s="310">
        <v>1.1000000000000001</v>
      </c>
      <c r="CU12" s="302">
        <f>CS12*CT12</f>
        <v>37025.624900000017</v>
      </c>
      <c r="CV12" s="302">
        <f t="shared" ref="CV12:DF12" si="120">CU12</f>
        <v>37025.624900000017</v>
      </c>
      <c r="CW12" s="302">
        <f t="shared" si="120"/>
        <v>37025.624900000017</v>
      </c>
      <c r="CX12" s="302">
        <f t="shared" si="120"/>
        <v>37025.624900000017</v>
      </c>
      <c r="CY12" s="302">
        <f t="shared" si="120"/>
        <v>37025.624900000017</v>
      </c>
      <c r="CZ12" s="302">
        <f t="shared" si="120"/>
        <v>37025.624900000017</v>
      </c>
      <c r="DA12" s="302">
        <f t="shared" si="120"/>
        <v>37025.624900000017</v>
      </c>
      <c r="DB12" s="302">
        <f t="shared" si="120"/>
        <v>37025.624900000017</v>
      </c>
      <c r="DC12" s="302">
        <f t="shared" si="120"/>
        <v>37025.624900000017</v>
      </c>
      <c r="DD12" s="302">
        <f t="shared" si="120"/>
        <v>37025.624900000017</v>
      </c>
      <c r="DE12" s="302">
        <f t="shared" si="120"/>
        <v>37025.624900000017</v>
      </c>
      <c r="DF12" s="302">
        <f t="shared" si="120"/>
        <v>37025.624900000017</v>
      </c>
    </row>
    <row r="13" spans="1:111" ht="15" thickBot="1">
      <c r="A13" s="19"/>
      <c r="B13" s="5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5"/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5"/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</row>
    <row r="14" spans="1:111" ht="15" thickBot="1">
      <c r="A14" s="19"/>
      <c r="B14" s="5"/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5"/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5"/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U14" s="26">
        <v>0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6">
        <v>0</v>
      </c>
    </row>
    <row r="15" spans="1:111" ht="15.75" thickBot="1">
      <c r="A15" s="16" t="s">
        <v>4</v>
      </c>
      <c r="B15" s="10" t="s">
        <v>11</v>
      </c>
      <c r="C15">
        <f>SUM(C16:C24)</f>
        <v>0</v>
      </c>
      <c r="D15" s="27">
        <f>SUM(D16:D24)</f>
        <v>0</v>
      </c>
      <c r="E15" s="27">
        <f t="shared" ref="E15:G15" si="121">SUM(E16:E24)</f>
        <v>0</v>
      </c>
      <c r="F15" s="27">
        <f t="shared" si="121"/>
        <v>8960</v>
      </c>
      <c r="G15" s="27">
        <f t="shared" si="121"/>
        <v>8960</v>
      </c>
      <c r="H15" s="27">
        <f t="shared" ref="H15:S15" si="122">SUM(H16:H24)</f>
        <v>8960</v>
      </c>
      <c r="I15" s="27">
        <f t="shared" si="122"/>
        <v>8960</v>
      </c>
      <c r="J15" s="27">
        <f>SUM(J16:J24)</f>
        <v>8960</v>
      </c>
      <c r="K15" s="27">
        <f t="shared" si="122"/>
        <v>8960</v>
      </c>
      <c r="L15" s="27">
        <f t="shared" si="122"/>
        <v>8960</v>
      </c>
      <c r="M15" s="27">
        <f>SUM(M16:M24)</f>
        <v>8960</v>
      </c>
      <c r="N15" s="27">
        <f t="shared" si="122"/>
        <v>8960</v>
      </c>
      <c r="O15" s="27">
        <f t="shared" si="122"/>
        <v>8960</v>
      </c>
      <c r="P15" s="27">
        <f t="shared" si="122"/>
        <v>8960</v>
      </c>
      <c r="Q15" s="27">
        <f t="shared" si="122"/>
        <v>8960</v>
      </c>
      <c r="R15" s="27">
        <f t="shared" si="122"/>
        <v>8960</v>
      </c>
      <c r="S15" s="27">
        <f t="shared" si="122"/>
        <v>8960</v>
      </c>
      <c r="T15" s="5"/>
      <c r="U15" s="27">
        <f t="shared" ref="U15:AF15" si="123">SUM(U16:U24)</f>
        <v>9356</v>
      </c>
      <c r="V15" s="27">
        <f t="shared" si="123"/>
        <v>9356</v>
      </c>
      <c r="W15" s="27">
        <f t="shared" si="123"/>
        <v>9356</v>
      </c>
      <c r="X15" s="27">
        <f t="shared" si="123"/>
        <v>9356</v>
      </c>
      <c r="Y15" s="27">
        <f t="shared" si="123"/>
        <v>9356</v>
      </c>
      <c r="Z15" s="27">
        <f t="shared" si="123"/>
        <v>9356</v>
      </c>
      <c r="AA15" s="27">
        <f t="shared" si="123"/>
        <v>9356</v>
      </c>
      <c r="AB15" s="27">
        <f t="shared" si="123"/>
        <v>9356</v>
      </c>
      <c r="AC15" s="27">
        <f t="shared" si="123"/>
        <v>9356</v>
      </c>
      <c r="AD15" s="27">
        <f t="shared" si="123"/>
        <v>9356</v>
      </c>
      <c r="AE15" s="27">
        <f t="shared" si="123"/>
        <v>9356</v>
      </c>
      <c r="AF15" s="27">
        <f t="shared" si="123"/>
        <v>9356</v>
      </c>
      <c r="AG15" s="5"/>
      <c r="AH15" s="27">
        <f t="shared" ref="AH15:AS15" si="124">SUM(AH16:AH24)</f>
        <v>10291.6</v>
      </c>
      <c r="AI15" s="27">
        <f t="shared" si="124"/>
        <v>10291.6</v>
      </c>
      <c r="AJ15" s="27">
        <f t="shared" si="124"/>
        <v>10291.6</v>
      </c>
      <c r="AK15" s="27">
        <f t="shared" si="124"/>
        <v>10291.6</v>
      </c>
      <c r="AL15" s="27">
        <f t="shared" si="124"/>
        <v>10291.6</v>
      </c>
      <c r="AM15" s="27">
        <f t="shared" si="124"/>
        <v>10291.6</v>
      </c>
      <c r="AN15" s="27">
        <f t="shared" si="124"/>
        <v>10291.6</v>
      </c>
      <c r="AO15" s="27">
        <f t="shared" si="124"/>
        <v>10291.6</v>
      </c>
      <c r="AP15" s="27">
        <f t="shared" si="124"/>
        <v>10291.6</v>
      </c>
      <c r="AQ15" s="27">
        <f t="shared" si="124"/>
        <v>10291.6</v>
      </c>
      <c r="AR15" s="27">
        <f t="shared" si="124"/>
        <v>10291.6</v>
      </c>
      <c r="AS15" s="27">
        <f t="shared" si="124"/>
        <v>10291.6</v>
      </c>
      <c r="AU15" s="27">
        <f t="shared" ref="AU15:BF15" si="125">SUM(AU16:AU24)</f>
        <v>10770.76</v>
      </c>
      <c r="AV15" s="27">
        <f t="shared" si="125"/>
        <v>10770.76</v>
      </c>
      <c r="AW15" s="27">
        <f t="shared" si="125"/>
        <v>10770.76</v>
      </c>
      <c r="AX15" s="27">
        <f t="shared" si="125"/>
        <v>10770.76</v>
      </c>
      <c r="AY15" s="27">
        <f t="shared" si="125"/>
        <v>10770.76</v>
      </c>
      <c r="AZ15" s="27">
        <f t="shared" si="125"/>
        <v>10770.76</v>
      </c>
      <c r="BA15" s="27">
        <f t="shared" si="125"/>
        <v>10770.76</v>
      </c>
      <c r="BB15" s="27">
        <f t="shared" si="125"/>
        <v>10770.76</v>
      </c>
      <c r="BC15" s="27">
        <f t="shared" si="125"/>
        <v>10770.76</v>
      </c>
      <c r="BD15" s="27">
        <f t="shared" si="125"/>
        <v>10770.76</v>
      </c>
      <c r="BE15" s="27">
        <f t="shared" si="125"/>
        <v>10770.76</v>
      </c>
      <c r="BF15" s="27">
        <f t="shared" si="125"/>
        <v>10770.76</v>
      </c>
      <c r="BH15" s="27">
        <f t="shared" ref="BH15:BS15" si="126">SUM(BH16:BH24)</f>
        <v>12377.619600000002</v>
      </c>
      <c r="BI15" s="27">
        <f t="shared" si="126"/>
        <v>12377.619600000002</v>
      </c>
      <c r="BJ15" s="27">
        <f t="shared" si="126"/>
        <v>12377.619600000002</v>
      </c>
      <c r="BK15" s="27">
        <f t="shared" si="126"/>
        <v>12377.619600000002</v>
      </c>
      <c r="BL15" s="27">
        <f t="shared" si="126"/>
        <v>12377.619600000002</v>
      </c>
      <c r="BM15" s="27">
        <f t="shared" si="126"/>
        <v>12377.619600000002</v>
      </c>
      <c r="BN15" s="27">
        <f t="shared" si="126"/>
        <v>12377.619600000002</v>
      </c>
      <c r="BO15" s="27">
        <f t="shared" si="126"/>
        <v>12377.619600000002</v>
      </c>
      <c r="BP15" s="27">
        <f t="shared" si="126"/>
        <v>12377.619600000002</v>
      </c>
      <c r="BQ15" s="27">
        <f t="shared" si="126"/>
        <v>12377.619600000002</v>
      </c>
      <c r="BR15" s="27">
        <f t="shared" si="126"/>
        <v>12377.619600000002</v>
      </c>
      <c r="BS15" s="27">
        <f t="shared" si="126"/>
        <v>12377.619600000002</v>
      </c>
      <c r="BU15" s="27">
        <f t="shared" ref="BU15:CE15" si="127">SUM(BU16:BU24)</f>
        <v>12377.619600000002</v>
      </c>
      <c r="BV15" s="27">
        <f t="shared" si="127"/>
        <v>12377.619600000002</v>
      </c>
      <c r="BW15" s="27">
        <f t="shared" si="127"/>
        <v>12377.619600000002</v>
      </c>
      <c r="BX15" s="27">
        <f t="shared" si="127"/>
        <v>12377.619600000002</v>
      </c>
      <c r="BY15" s="27">
        <f t="shared" si="127"/>
        <v>12377.619600000002</v>
      </c>
      <c r="BZ15" s="27">
        <f t="shared" si="127"/>
        <v>12377.619600000002</v>
      </c>
      <c r="CA15" s="27">
        <f t="shared" si="127"/>
        <v>12377.619600000002</v>
      </c>
      <c r="CB15" s="27">
        <f t="shared" si="127"/>
        <v>12377.619600000002</v>
      </c>
      <c r="CC15" s="27">
        <f t="shared" si="127"/>
        <v>12377.619600000002</v>
      </c>
      <c r="CD15" s="27">
        <f t="shared" si="127"/>
        <v>12377.619600000002</v>
      </c>
      <c r="CE15" s="27">
        <f t="shared" si="127"/>
        <v>12377.619600000002</v>
      </c>
      <c r="CF15" s="27">
        <f>SUM(CF16:CF24)</f>
        <v>12377.619600000002</v>
      </c>
      <c r="CH15" s="305">
        <f>SUM(CH16:CH24)</f>
        <v>13615.381560000002</v>
      </c>
      <c r="CI15" s="305">
        <f t="shared" ref="CI15:CS15" si="128">SUM(CI16:CI24)</f>
        <v>13615.381560000002</v>
      </c>
      <c r="CJ15" s="305">
        <f t="shared" si="128"/>
        <v>13615.381560000002</v>
      </c>
      <c r="CK15" s="305">
        <f t="shared" si="128"/>
        <v>13615.381560000002</v>
      </c>
      <c r="CL15" s="305">
        <f t="shared" si="128"/>
        <v>13615.381560000002</v>
      </c>
      <c r="CM15" s="305">
        <f t="shared" si="128"/>
        <v>13615.381560000002</v>
      </c>
      <c r="CN15" s="305">
        <f t="shared" si="128"/>
        <v>13615.381560000002</v>
      </c>
      <c r="CO15" s="305">
        <f t="shared" si="128"/>
        <v>13615.381560000002</v>
      </c>
      <c r="CP15" s="305">
        <f t="shared" si="128"/>
        <v>13615.381560000002</v>
      </c>
      <c r="CQ15" s="305">
        <f t="shared" si="128"/>
        <v>13615.381560000002</v>
      </c>
      <c r="CR15" s="305">
        <f t="shared" si="128"/>
        <v>13615.381560000002</v>
      </c>
      <c r="CS15" s="305">
        <f t="shared" si="128"/>
        <v>13615.381560000002</v>
      </c>
      <c r="CU15" s="323">
        <f>SUM(CU16:CU24)</f>
        <v>14916.919716000002</v>
      </c>
      <c r="CV15" s="323">
        <f t="shared" ref="CV15:DF15" si="129">SUM(CV16:CV24)</f>
        <v>14916.919716000002</v>
      </c>
      <c r="CW15" s="323">
        <f t="shared" si="129"/>
        <v>14916.919716000002</v>
      </c>
      <c r="CX15" s="323">
        <f t="shared" si="129"/>
        <v>14916.919716000002</v>
      </c>
      <c r="CY15" s="323">
        <f t="shared" si="129"/>
        <v>14916.919716000002</v>
      </c>
      <c r="CZ15" s="323">
        <f t="shared" si="129"/>
        <v>14916.919716000002</v>
      </c>
      <c r="DA15" s="323">
        <f t="shared" si="129"/>
        <v>14916.919716000002</v>
      </c>
      <c r="DB15" s="323">
        <f t="shared" si="129"/>
        <v>14916.919716000002</v>
      </c>
      <c r="DC15" s="323">
        <f t="shared" si="129"/>
        <v>14916.919716000002</v>
      </c>
      <c r="DD15" s="323">
        <f t="shared" si="129"/>
        <v>14916.919716000002</v>
      </c>
      <c r="DE15" s="323">
        <f t="shared" si="129"/>
        <v>14916.919716000002</v>
      </c>
      <c r="DF15" s="323">
        <f t="shared" si="129"/>
        <v>14916.919716000002</v>
      </c>
    </row>
    <row r="16" spans="1:111" ht="15" thickBot="1">
      <c r="A16" s="19" t="s">
        <v>12</v>
      </c>
      <c r="B16" s="5" t="s">
        <v>149</v>
      </c>
      <c r="D16" s="38">
        <v>0</v>
      </c>
      <c r="E16" s="38">
        <v>0</v>
      </c>
      <c r="F16" s="38">
        <f>Equipe!$J$6</f>
        <v>3960</v>
      </c>
      <c r="G16" s="38">
        <f>Equipe!$J$6</f>
        <v>3960</v>
      </c>
      <c r="H16" s="38">
        <f>Equipe!$J$6</f>
        <v>3960</v>
      </c>
      <c r="I16" s="38">
        <f>Equipe!$J$6</f>
        <v>3960</v>
      </c>
      <c r="J16" s="38">
        <f>Equipe!$J$6</f>
        <v>3960</v>
      </c>
      <c r="K16" s="38">
        <f>Equipe!$J$6</f>
        <v>3960</v>
      </c>
      <c r="L16" s="38">
        <f>Equipe!$J$6</f>
        <v>3960</v>
      </c>
      <c r="M16" s="38">
        <f>Equipe!$J$6</f>
        <v>3960</v>
      </c>
      <c r="N16" s="38">
        <f>Equipe!$J$6</f>
        <v>3960</v>
      </c>
      <c r="O16" s="38">
        <f>Equipe!$J$6</f>
        <v>3960</v>
      </c>
      <c r="P16" s="38">
        <f>Equipe!$J$6</f>
        <v>3960</v>
      </c>
      <c r="Q16" s="38">
        <f>Equipe!$J$6</f>
        <v>3960</v>
      </c>
      <c r="R16" s="38">
        <f>Equipe!$J$6</f>
        <v>3960</v>
      </c>
      <c r="S16" s="38">
        <f>Equipe!$J$6</f>
        <v>3960</v>
      </c>
      <c r="T16" s="5"/>
      <c r="U16" s="38">
        <f>Equipe!$J$16</f>
        <v>4356</v>
      </c>
      <c r="V16" s="38">
        <f>Equipe!$J$16</f>
        <v>4356</v>
      </c>
      <c r="W16" s="38">
        <f>Equipe!$J$16</f>
        <v>4356</v>
      </c>
      <c r="X16" s="38">
        <f>Equipe!$J$16</f>
        <v>4356</v>
      </c>
      <c r="Y16" s="38">
        <f>Equipe!$J$16</f>
        <v>4356</v>
      </c>
      <c r="Z16" s="38">
        <f>Equipe!$J$16</f>
        <v>4356</v>
      </c>
      <c r="AA16" s="38">
        <f>Equipe!$J$16</f>
        <v>4356</v>
      </c>
      <c r="AB16" s="38">
        <f>Equipe!$J$16</f>
        <v>4356</v>
      </c>
      <c r="AC16" s="38">
        <f>Equipe!$J$16</f>
        <v>4356</v>
      </c>
      <c r="AD16" s="38">
        <f>Equipe!$J$16</f>
        <v>4356</v>
      </c>
      <c r="AE16" s="38">
        <f>Equipe!$J$16</f>
        <v>4356</v>
      </c>
      <c r="AF16" s="38">
        <f>Equipe!$J$16</f>
        <v>4356</v>
      </c>
      <c r="AG16" s="5"/>
      <c r="AH16" s="38">
        <f>Equipe!$J$26</f>
        <v>4791.6000000000004</v>
      </c>
      <c r="AI16" s="38">
        <f>Equipe!$J$26</f>
        <v>4791.6000000000004</v>
      </c>
      <c r="AJ16" s="38">
        <f>Equipe!$J$26</f>
        <v>4791.6000000000004</v>
      </c>
      <c r="AK16" s="38">
        <f>Equipe!$J$26</f>
        <v>4791.6000000000004</v>
      </c>
      <c r="AL16" s="38">
        <f>Equipe!$J$26</f>
        <v>4791.6000000000004</v>
      </c>
      <c r="AM16" s="38">
        <f>Equipe!$J$26</f>
        <v>4791.6000000000004</v>
      </c>
      <c r="AN16" s="38">
        <f>Equipe!$J$26</f>
        <v>4791.6000000000004</v>
      </c>
      <c r="AO16" s="38">
        <f>Equipe!$J$26</f>
        <v>4791.6000000000004</v>
      </c>
      <c r="AP16" s="38">
        <f>Equipe!$J$26</f>
        <v>4791.6000000000004</v>
      </c>
      <c r="AQ16" s="38">
        <f>Equipe!$J$26</f>
        <v>4791.6000000000004</v>
      </c>
      <c r="AR16" s="38">
        <f>Equipe!$J$26</f>
        <v>4791.6000000000004</v>
      </c>
      <c r="AS16" s="38">
        <f>Equipe!$J$26</f>
        <v>4791.6000000000004</v>
      </c>
      <c r="AU16" s="38">
        <f>Equipe!$J$36</f>
        <v>5270.76</v>
      </c>
      <c r="AV16" s="38">
        <f>Equipe!$J$36</f>
        <v>5270.76</v>
      </c>
      <c r="AW16" s="38">
        <f>Equipe!$J$36</f>
        <v>5270.76</v>
      </c>
      <c r="AX16" s="38">
        <f>Equipe!$J$36</f>
        <v>5270.76</v>
      </c>
      <c r="AY16" s="38">
        <f>Equipe!$J$36</f>
        <v>5270.76</v>
      </c>
      <c r="AZ16" s="38">
        <f>Equipe!$J$36</f>
        <v>5270.76</v>
      </c>
      <c r="BA16" s="38">
        <f>Equipe!$J$36</f>
        <v>5270.76</v>
      </c>
      <c r="BB16" s="38">
        <f>Equipe!$J$36</f>
        <v>5270.76</v>
      </c>
      <c r="BC16" s="38">
        <f>Equipe!$J$36</f>
        <v>5270.76</v>
      </c>
      <c r="BD16" s="38">
        <f>Equipe!$J$36</f>
        <v>5270.76</v>
      </c>
      <c r="BE16" s="38">
        <f>Equipe!$J$36</f>
        <v>5270.76</v>
      </c>
      <c r="BF16" s="38">
        <f>Equipe!$J$36</f>
        <v>5270.76</v>
      </c>
      <c r="BH16" s="38">
        <f>Equipe!$J$56</f>
        <v>6377.6196000000018</v>
      </c>
      <c r="BI16" s="38">
        <f>Equipe!$J$56</f>
        <v>6377.6196000000018</v>
      </c>
      <c r="BJ16" s="38">
        <f>Equipe!$J$56</f>
        <v>6377.6196000000018</v>
      </c>
      <c r="BK16" s="38">
        <f>Equipe!$J$56</f>
        <v>6377.6196000000018</v>
      </c>
      <c r="BL16" s="38">
        <f>Equipe!$J$56</f>
        <v>6377.6196000000018</v>
      </c>
      <c r="BM16" s="38">
        <f>Equipe!$J$56</f>
        <v>6377.6196000000018</v>
      </c>
      <c r="BN16" s="38">
        <f>Equipe!$J$56</f>
        <v>6377.6196000000018</v>
      </c>
      <c r="BO16" s="38">
        <f>Equipe!$J$56</f>
        <v>6377.6196000000018</v>
      </c>
      <c r="BP16" s="38">
        <f>Equipe!$J$56</f>
        <v>6377.6196000000018</v>
      </c>
      <c r="BQ16" s="38">
        <f>Equipe!$J$56</f>
        <v>6377.6196000000018</v>
      </c>
      <c r="BR16" s="38">
        <f>Equipe!$J$56</f>
        <v>6377.6196000000018</v>
      </c>
      <c r="BS16" s="38">
        <f>Equipe!$J$56</f>
        <v>6377.6196000000018</v>
      </c>
      <c r="BU16" s="38">
        <f>Equipe!$J$56</f>
        <v>6377.6196000000018</v>
      </c>
      <c r="BV16" s="38">
        <f>Equipe!$J$56</f>
        <v>6377.6196000000018</v>
      </c>
      <c r="BW16" s="38">
        <f>Equipe!$J$56</f>
        <v>6377.6196000000018</v>
      </c>
      <c r="BX16" s="38">
        <f>Equipe!$J$56</f>
        <v>6377.6196000000018</v>
      </c>
      <c r="BY16" s="38">
        <f>Equipe!$J$56</f>
        <v>6377.6196000000018</v>
      </c>
      <c r="BZ16" s="38">
        <f>Equipe!$J$56</f>
        <v>6377.6196000000018</v>
      </c>
      <c r="CA16" s="38">
        <f>Equipe!$J$56</f>
        <v>6377.6196000000018</v>
      </c>
      <c r="CB16" s="38">
        <f>Equipe!$J$56</f>
        <v>6377.6196000000018</v>
      </c>
      <c r="CC16" s="38">
        <f>Equipe!$J$56</f>
        <v>6377.6196000000018</v>
      </c>
      <c r="CD16" s="38">
        <f>Equipe!$J$56</f>
        <v>6377.6196000000018</v>
      </c>
      <c r="CE16" s="38">
        <f>Equipe!$J$56</f>
        <v>6377.6196000000018</v>
      </c>
      <c r="CF16" s="38">
        <f>Equipe!$J$56</f>
        <v>6377.6196000000018</v>
      </c>
      <c r="CH16" s="302">
        <f>Equipe!J66</f>
        <v>7015.3815600000016</v>
      </c>
      <c r="CI16" s="302">
        <f t="shared" ref="CI16:CS16" si="130">CH16</f>
        <v>7015.3815600000016</v>
      </c>
      <c r="CJ16" s="302">
        <f t="shared" si="130"/>
        <v>7015.3815600000016</v>
      </c>
      <c r="CK16" s="302">
        <f t="shared" si="130"/>
        <v>7015.3815600000016</v>
      </c>
      <c r="CL16" s="302">
        <f t="shared" si="130"/>
        <v>7015.3815600000016</v>
      </c>
      <c r="CM16" s="302">
        <f t="shared" si="130"/>
        <v>7015.3815600000016</v>
      </c>
      <c r="CN16" s="302">
        <f t="shared" si="130"/>
        <v>7015.3815600000016</v>
      </c>
      <c r="CO16" s="302">
        <f t="shared" si="130"/>
        <v>7015.3815600000016</v>
      </c>
      <c r="CP16" s="302">
        <f t="shared" si="130"/>
        <v>7015.3815600000016</v>
      </c>
      <c r="CQ16" s="302">
        <f t="shared" si="130"/>
        <v>7015.3815600000016</v>
      </c>
      <c r="CR16" s="302">
        <f t="shared" si="130"/>
        <v>7015.3815600000016</v>
      </c>
      <c r="CS16" s="302">
        <f t="shared" si="130"/>
        <v>7015.3815600000016</v>
      </c>
      <c r="CU16" s="302">
        <f>Equipe!J76</f>
        <v>7716.9197160000022</v>
      </c>
      <c r="CV16" s="302">
        <f t="shared" ref="CV16:DF16" si="131">CU16</f>
        <v>7716.9197160000022</v>
      </c>
      <c r="CW16" s="302">
        <f t="shared" si="131"/>
        <v>7716.9197160000022</v>
      </c>
      <c r="CX16" s="302">
        <f t="shared" si="131"/>
        <v>7716.9197160000022</v>
      </c>
      <c r="CY16" s="302">
        <f t="shared" si="131"/>
        <v>7716.9197160000022</v>
      </c>
      <c r="CZ16" s="302">
        <f t="shared" si="131"/>
        <v>7716.9197160000022</v>
      </c>
      <c r="DA16" s="302">
        <f t="shared" si="131"/>
        <v>7716.9197160000022</v>
      </c>
      <c r="DB16" s="302">
        <f t="shared" si="131"/>
        <v>7716.9197160000022</v>
      </c>
      <c r="DC16" s="302">
        <f t="shared" si="131"/>
        <v>7716.9197160000022</v>
      </c>
      <c r="DD16" s="302">
        <f t="shared" si="131"/>
        <v>7716.9197160000022</v>
      </c>
      <c r="DE16" s="302">
        <f t="shared" si="131"/>
        <v>7716.9197160000022</v>
      </c>
      <c r="DF16" s="302">
        <f t="shared" si="131"/>
        <v>7716.9197160000022</v>
      </c>
    </row>
    <row r="17" spans="1:110" ht="15" thickBot="1">
      <c r="A17" s="19" t="s">
        <v>13</v>
      </c>
      <c r="B17" s="5" t="s">
        <v>148</v>
      </c>
      <c r="D17" s="38">
        <v>0</v>
      </c>
      <c r="E17" s="38">
        <v>0</v>
      </c>
      <c r="F17" s="38">
        <f>Equipe!$J$3</f>
        <v>0</v>
      </c>
      <c r="G17" s="38">
        <f>Equipe!$J$3</f>
        <v>0</v>
      </c>
      <c r="H17" s="38">
        <f>Equipe!$J$3</f>
        <v>0</v>
      </c>
      <c r="I17" s="38">
        <f>Equipe!$J$3</f>
        <v>0</v>
      </c>
      <c r="J17" s="38">
        <f>Equipe!$J$3</f>
        <v>0</v>
      </c>
      <c r="K17" s="38">
        <f>Equipe!$J$3</f>
        <v>0</v>
      </c>
      <c r="L17" s="38">
        <f>Equipe!$J$3</f>
        <v>0</v>
      </c>
      <c r="M17" s="38">
        <f>Equipe!$J$3</f>
        <v>0</v>
      </c>
      <c r="N17" s="38">
        <f>Equipe!$J$3</f>
        <v>0</v>
      </c>
      <c r="O17" s="38">
        <f>Equipe!$J$3</f>
        <v>0</v>
      </c>
      <c r="P17" s="38">
        <f>Equipe!$J$3</f>
        <v>0</v>
      </c>
      <c r="Q17" s="38">
        <f>Equipe!$J$3</f>
        <v>0</v>
      </c>
      <c r="R17" s="38">
        <f>Equipe!$J$3</f>
        <v>0</v>
      </c>
      <c r="S17" s="38">
        <f>Equipe!$J$3</f>
        <v>0</v>
      </c>
      <c r="T17" s="5"/>
      <c r="U17" s="38">
        <f>Equipe!$J$13</f>
        <v>0</v>
      </c>
      <c r="V17" s="38">
        <f>Equipe!$J$13</f>
        <v>0</v>
      </c>
      <c r="W17" s="38">
        <f>Equipe!$J$13</f>
        <v>0</v>
      </c>
      <c r="X17" s="38">
        <f>Equipe!$J$13</f>
        <v>0</v>
      </c>
      <c r="Y17" s="38">
        <f>Equipe!$J$13</f>
        <v>0</v>
      </c>
      <c r="Z17" s="38">
        <f>Equipe!$J$13</f>
        <v>0</v>
      </c>
      <c r="AA17" s="38">
        <f>Equipe!$J$13</f>
        <v>0</v>
      </c>
      <c r="AB17" s="38">
        <f>Equipe!$J$13</f>
        <v>0</v>
      </c>
      <c r="AC17" s="38">
        <f>Equipe!$J$13</f>
        <v>0</v>
      </c>
      <c r="AD17" s="38">
        <f>Equipe!$J$13</f>
        <v>0</v>
      </c>
      <c r="AE17" s="38">
        <f>Equipe!$J$13</f>
        <v>0</v>
      </c>
      <c r="AF17" s="38">
        <f>Equipe!$J$13</f>
        <v>0</v>
      </c>
      <c r="AG17" s="5"/>
      <c r="AH17" s="38">
        <f>Equipe!$J$23</f>
        <v>0</v>
      </c>
      <c r="AI17" s="38">
        <f>Equipe!$J$23</f>
        <v>0</v>
      </c>
      <c r="AJ17" s="38">
        <f>Equipe!$J$23</f>
        <v>0</v>
      </c>
      <c r="AK17" s="38">
        <f>Equipe!$J$23</f>
        <v>0</v>
      </c>
      <c r="AL17" s="38">
        <f>Equipe!$J$23</f>
        <v>0</v>
      </c>
      <c r="AM17" s="38">
        <f>Equipe!$J$23</f>
        <v>0</v>
      </c>
      <c r="AN17" s="38">
        <f>Equipe!$J$23</f>
        <v>0</v>
      </c>
      <c r="AO17" s="38">
        <f>Equipe!$J$23</f>
        <v>0</v>
      </c>
      <c r="AP17" s="38">
        <f>Equipe!$J$23</f>
        <v>0</v>
      </c>
      <c r="AQ17" s="38">
        <f>Equipe!$J$23</f>
        <v>0</v>
      </c>
      <c r="AR17" s="38">
        <f>Equipe!$J$23</f>
        <v>0</v>
      </c>
      <c r="AS17" s="38">
        <f>Equipe!$J$23</f>
        <v>0</v>
      </c>
      <c r="AU17" s="38">
        <f>Equipe!$J$33</f>
        <v>0</v>
      </c>
      <c r="AV17" s="38">
        <f>Equipe!$J$33</f>
        <v>0</v>
      </c>
      <c r="AW17" s="38">
        <f>Equipe!$J$33</f>
        <v>0</v>
      </c>
      <c r="AX17" s="38">
        <f>Equipe!$J$33</f>
        <v>0</v>
      </c>
      <c r="AY17" s="38">
        <f>Equipe!$J$33</f>
        <v>0</v>
      </c>
      <c r="AZ17" s="38">
        <f>Equipe!$J$33</f>
        <v>0</v>
      </c>
      <c r="BA17" s="38">
        <f>Equipe!$J$33</f>
        <v>0</v>
      </c>
      <c r="BB17" s="38">
        <f>Equipe!$J$33</f>
        <v>0</v>
      </c>
      <c r="BC17" s="38">
        <f>Equipe!$J$33</f>
        <v>0</v>
      </c>
      <c r="BD17" s="38">
        <f>Equipe!$J$33</f>
        <v>0</v>
      </c>
      <c r="BE17" s="38">
        <f>Equipe!$J$33</f>
        <v>0</v>
      </c>
      <c r="BF17" s="38">
        <f>Equipe!$J$33</f>
        <v>0</v>
      </c>
      <c r="BH17" s="38">
        <f>Equipe!$J$43</f>
        <v>0</v>
      </c>
      <c r="BI17" s="38">
        <f>Equipe!$J$43</f>
        <v>0</v>
      </c>
      <c r="BJ17" s="38">
        <f>Equipe!$J$43</f>
        <v>0</v>
      </c>
      <c r="BK17" s="38">
        <f>Equipe!$J$43</f>
        <v>0</v>
      </c>
      <c r="BL17" s="38">
        <f>Equipe!$J$43</f>
        <v>0</v>
      </c>
      <c r="BM17" s="38">
        <f>Equipe!$J$43</f>
        <v>0</v>
      </c>
      <c r="BN17" s="38">
        <f>Equipe!$J$43</f>
        <v>0</v>
      </c>
      <c r="BO17" s="38">
        <f>Equipe!$J$43</f>
        <v>0</v>
      </c>
      <c r="BP17" s="38">
        <f>Equipe!$J$43</f>
        <v>0</v>
      </c>
      <c r="BQ17" s="38">
        <f>Equipe!$J$43</f>
        <v>0</v>
      </c>
      <c r="BR17" s="38">
        <f>Equipe!$J$43</f>
        <v>0</v>
      </c>
      <c r="BS17" s="38">
        <f>Equipe!$J$43</f>
        <v>0</v>
      </c>
      <c r="BU17" s="38">
        <f>Equipe!$J$53</f>
        <v>0</v>
      </c>
      <c r="BV17" s="38">
        <f>Equipe!$J$53</f>
        <v>0</v>
      </c>
      <c r="BW17" s="38">
        <f>Equipe!$J$53</f>
        <v>0</v>
      </c>
      <c r="BX17" s="38">
        <f>Equipe!$J$53</f>
        <v>0</v>
      </c>
      <c r="BY17" s="38">
        <f>Equipe!$J$53</f>
        <v>0</v>
      </c>
      <c r="BZ17" s="38">
        <f>Equipe!$J$53</f>
        <v>0</v>
      </c>
      <c r="CA17" s="38">
        <f>Equipe!$J$53</f>
        <v>0</v>
      </c>
      <c r="CB17" s="38">
        <f>Equipe!$J$53</f>
        <v>0</v>
      </c>
      <c r="CC17" s="38">
        <f>Equipe!$J$53</f>
        <v>0</v>
      </c>
      <c r="CD17" s="38">
        <f>Equipe!$J$53</f>
        <v>0</v>
      </c>
      <c r="CE17" s="38">
        <f>Equipe!$J$53</f>
        <v>0</v>
      </c>
      <c r="CF17" s="38">
        <f>Equipe!$J$53</f>
        <v>0</v>
      </c>
      <c r="CH17" s="302">
        <f>Equipe!J63</f>
        <v>0</v>
      </c>
      <c r="CI17" s="302">
        <f t="shared" ref="CI17:CS17" si="132">CH17</f>
        <v>0</v>
      </c>
      <c r="CJ17" s="302">
        <f t="shared" si="132"/>
        <v>0</v>
      </c>
      <c r="CK17" s="302">
        <f t="shared" si="132"/>
        <v>0</v>
      </c>
      <c r="CL17" s="302">
        <f t="shared" si="132"/>
        <v>0</v>
      </c>
      <c r="CM17" s="302">
        <f t="shared" si="132"/>
        <v>0</v>
      </c>
      <c r="CN17" s="302">
        <f t="shared" si="132"/>
        <v>0</v>
      </c>
      <c r="CO17" s="302">
        <f t="shared" si="132"/>
        <v>0</v>
      </c>
      <c r="CP17" s="302">
        <f t="shared" si="132"/>
        <v>0</v>
      </c>
      <c r="CQ17" s="302">
        <f t="shared" si="132"/>
        <v>0</v>
      </c>
      <c r="CR17" s="302">
        <f t="shared" si="132"/>
        <v>0</v>
      </c>
      <c r="CS17" s="302">
        <f t="shared" si="132"/>
        <v>0</v>
      </c>
      <c r="CU17" s="302">
        <f>Equipe!I73</f>
        <v>0</v>
      </c>
      <c r="CV17" s="302">
        <f t="shared" ref="CV17:DF17" si="133">CU17</f>
        <v>0</v>
      </c>
      <c r="CW17" s="302">
        <f t="shared" si="133"/>
        <v>0</v>
      </c>
      <c r="CX17" s="302">
        <f t="shared" si="133"/>
        <v>0</v>
      </c>
      <c r="CY17" s="302">
        <f t="shared" si="133"/>
        <v>0</v>
      </c>
      <c r="CZ17" s="302">
        <f t="shared" si="133"/>
        <v>0</v>
      </c>
      <c r="DA17" s="302">
        <f t="shared" si="133"/>
        <v>0</v>
      </c>
      <c r="DB17" s="302">
        <f t="shared" si="133"/>
        <v>0</v>
      </c>
      <c r="DC17" s="302">
        <f t="shared" si="133"/>
        <v>0</v>
      </c>
      <c r="DD17" s="302">
        <f t="shared" si="133"/>
        <v>0</v>
      </c>
      <c r="DE17" s="302">
        <f t="shared" si="133"/>
        <v>0</v>
      </c>
      <c r="DF17" s="302">
        <f t="shared" si="133"/>
        <v>0</v>
      </c>
    </row>
    <row r="18" spans="1:110" ht="15" thickBot="1">
      <c r="A18" s="19" t="s">
        <v>14</v>
      </c>
      <c r="B18" s="5" t="s">
        <v>150</v>
      </c>
      <c r="C18" s="35">
        <f>Equipe!$J$7</f>
        <v>0</v>
      </c>
      <c r="D18" s="38">
        <f>Equipe!$J$7</f>
        <v>0</v>
      </c>
      <c r="E18" s="38">
        <f>Equipe!$J$7</f>
        <v>0</v>
      </c>
      <c r="F18" s="38">
        <f>Equipe!$J$7</f>
        <v>0</v>
      </c>
      <c r="G18" s="38">
        <f>Equipe!$J$7</f>
        <v>0</v>
      </c>
      <c r="H18" s="38">
        <f>Equipe!$J$7</f>
        <v>0</v>
      </c>
      <c r="I18" s="38">
        <f>Equipe!$J$7</f>
        <v>0</v>
      </c>
      <c r="J18" s="38">
        <f>Equipe!$J$7</f>
        <v>0</v>
      </c>
      <c r="K18" s="38">
        <f>Equipe!$J$7</f>
        <v>0</v>
      </c>
      <c r="L18" s="38">
        <f>Equipe!$J$7</f>
        <v>0</v>
      </c>
      <c r="M18" s="38">
        <f>Equipe!$J$7</f>
        <v>0</v>
      </c>
      <c r="N18" s="38">
        <f>Equipe!$J$7</f>
        <v>0</v>
      </c>
      <c r="O18" s="38">
        <f>Equipe!$J$7</f>
        <v>0</v>
      </c>
      <c r="P18" s="38">
        <f>Equipe!$J$7</f>
        <v>0</v>
      </c>
      <c r="Q18" s="38">
        <f>Equipe!$J$7</f>
        <v>0</v>
      </c>
      <c r="R18" s="38">
        <f>Equipe!$J$7</f>
        <v>0</v>
      </c>
      <c r="S18" s="38">
        <f>Equipe!$J$7</f>
        <v>0</v>
      </c>
      <c r="T18" s="5"/>
      <c r="U18" s="38">
        <f>Equipe!$J$17</f>
        <v>0</v>
      </c>
      <c r="V18" s="38">
        <f>Equipe!$J$17</f>
        <v>0</v>
      </c>
      <c r="W18" s="38">
        <f>Equipe!$J$17</f>
        <v>0</v>
      </c>
      <c r="X18" s="38">
        <f>Equipe!$J$17</f>
        <v>0</v>
      </c>
      <c r="Y18" s="38">
        <f>Equipe!$J$17</f>
        <v>0</v>
      </c>
      <c r="Z18" s="38">
        <f>Equipe!$J$17</f>
        <v>0</v>
      </c>
      <c r="AA18" s="38">
        <f>Equipe!$J$17</f>
        <v>0</v>
      </c>
      <c r="AB18" s="38">
        <f>Equipe!$J$17</f>
        <v>0</v>
      </c>
      <c r="AC18" s="38">
        <f>Equipe!$J$17</f>
        <v>0</v>
      </c>
      <c r="AD18" s="38">
        <f>Equipe!$J$17</f>
        <v>0</v>
      </c>
      <c r="AE18" s="38">
        <f>Equipe!$J$17</f>
        <v>0</v>
      </c>
      <c r="AF18" s="38">
        <f>Equipe!$J$17</f>
        <v>0</v>
      </c>
      <c r="AG18" s="5"/>
      <c r="AH18" s="38">
        <f>Equipe!$J$27</f>
        <v>0</v>
      </c>
      <c r="AI18" s="38">
        <f>Equipe!$J$27</f>
        <v>0</v>
      </c>
      <c r="AJ18" s="38">
        <f>Equipe!$J$27</f>
        <v>0</v>
      </c>
      <c r="AK18" s="38">
        <f>Equipe!$J$27</f>
        <v>0</v>
      </c>
      <c r="AL18" s="38">
        <f>Equipe!$J$27</f>
        <v>0</v>
      </c>
      <c r="AM18" s="38">
        <f>Equipe!$J$27</f>
        <v>0</v>
      </c>
      <c r="AN18" s="38">
        <f>Equipe!$J$27</f>
        <v>0</v>
      </c>
      <c r="AO18" s="38">
        <f>Equipe!$J$27</f>
        <v>0</v>
      </c>
      <c r="AP18" s="38">
        <f>Equipe!$J$27</f>
        <v>0</v>
      </c>
      <c r="AQ18" s="38">
        <f>Equipe!$J$27</f>
        <v>0</v>
      </c>
      <c r="AR18" s="38">
        <f>Equipe!$J$27</f>
        <v>0</v>
      </c>
      <c r="AS18" s="38">
        <f>Equipe!$J$27</f>
        <v>0</v>
      </c>
      <c r="AU18" s="38">
        <f>Equipe!$J$37</f>
        <v>0</v>
      </c>
      <c r="AV18" s="38">
        <f>Equipe!$J$37</f>
        <v>0</v>
      </c>
      <c r="AW18" s="38">
        <f>Equipe!$J$37</f>
        <v>0</v>
      </c>
      <c r="AX18" s="38">
        <f>Equipe!$J$37</f>
        <v>0</v>
      </c>
      <c r="AY18" s="38">
        <f>Equipe!$J$37</f>
        <v>0</v>
      </c>
      <c r="AZ18" s="38">
        <f>Equipe!$J$37</f>
        <v>0</v>
      </c>
      <c r="BA18" s="38">
        <f>Equipe!$J$37</f>
        <v>0</v>
      </c>
      <c r="BB18" s="38">
        <f>Equipe!$J$37</f>
        <v>0</v>
      </c>
      <c r="BC18" s="38">
        <f>Equipe!$J$37</f>
        <v>0</v>
      </c>
      <c r="BD18" s="38">
        <f>Equipe!$J$37</f>
        <v>0</v>
      </c>
      <c r="BE18" s="38">
        <f>Equipe!$J$37</f>
        <v>0</v>
      </c>
      <c r="BF18" s="38">
        <f>Equipe!$J$37</f>
        <v>0</v>
      </c>
      <c r="BH18" s="38">
        <f>Equipe!$J$47</f>
        <v>0</v>
      </c>
      <c r="BI18" s="38">
        <f>Equipe!$J$47</f>
        <v>0</v>
      </c>
      <c r="BJ18" s="38">
        <f>Equipe!$J$47</f>
        <v>0</v>
      </c>
      <c r="BK18" s="38">
        <f>Equipe!$J$47</f>
        <v>0</v>
      </c>
      <c r="BL18" s="38">
        <f>Equipe!$J$47</f>
        <v>0</v>
      </c>
      <c r="BM18" s="38">
        <f>Equipe!$J$47</f>
        <v>0</v>
      </c>
      <c r="BN18" s="38">
        <f>Equipe!$J$47</f>
        <v>0</v>
      </c>
      <c r="BO18" s="38">
        <f>Equipe!$J$47</f>
        <v>0</v>
      </c>
      <c r="BP18" s="38">
        <f>Equipe!$J$47</f>
        <v>0</v>
      </c>
      <c r="BQ18" s="38">
        <f>Equipe!$J$47</f>
        <v>0</v>
      </c>
      <c r="BR18" s="38">
        <f>Equipe!$J$47</f>
        <v>0</v>
      </c>
      <c r="BS18" s="38">
        <f>Equipe!$J$47</f>
        <v>0</v>
      </c>
      <c r="BU18" s="38">
        <f>Equipe!$J$57</f>
        <v>0</v>
      </c>
      <c r="BV18" s="38">
        <f>Equipe!$J$57</f>
        <v>0</v>
      </c>
      <c r="BW18" s="38">
        <f>Equipe!$J$57</f>
        <v>0</v>
      </c>
      <c r="BX18" s="38">
        <f>Equipe!$J$57</f>
        <v>0</v>
      </c>
      <c r="BY18" s="38">
        <f>Equipe!$J$57</f>
        <v>0</v>
      </c>
      <c r="BZ18" s="38">
        <f>Equipe!$J$57</f>
        <v>0</v>
      </c>
      <c r="CA18" s="38">
        <f>Equipe!$J$57</f>
        <v>0</v>
      </c>
      <c r="CB18" s="38">
        <f>Equipe!$J$57</f>
        <v>0</v>
      </c>
      <c r="CC18" s="38">
        <f>Equipe!$J$57</f>
        <v>0</v>
      </c>
      <c r="CD18" s="38">
        <f>Equipe!$J$57</f>
        <v>0</v>
      </c>
      <c r="CE18" s="38">
        <f>Equipe!$J$57</f>
        <v>0</v>
      </c>
      <c r="CF18" s="38">
        <f>Equipe!$J$57</f>
        <v>0</v>
      </c>
      <c r="CH18" s="302">
        <f>Equipe!J67</f>
        <v>0</v>
      </c>
      <c r="CI18" s="302">
        <f t="shared" ref="CI18:CS18" si="134">CH18</f>
        <v>0</v>
      </c>
      <c r="CJ18" s="302">
        <f t="shared" si="134"/>
        <v>0</v>
      </c>
      <c r="CK18" s="302">
        <f t="shared" si="134"/>
        <v>0</v>
      </c>
      <c r="CL18" s="302">
        <f t="shared" si="134"/>
        <v>0</v>
      </c>
      <c r="CM18" s="302">
        <f t="shared" si="134"/>
        <v>0</v>
      </c>
      <c r="CN18" s="302">
        <f t="shared" si="134"/>
        <v>0</v>
      </c>
      <c r="CO18" s="302">
        <f t="shared" si="134"/>
        <v>0</v>
      </c>
      <c r="CP18" s="302">
        <f t="shared" si="134"/>
        <v>0</v>
      </c>
      <c r="CQ18" s="302">
        <f t="shared" si="134"/>
        <v>0</v>
      </c>
      <c r="CR18" s="302">
        <f t="shared" si="134"/>
        <v>0</v>
      </c>
      <c r="CS18" s="302">
        <f t="shared" si="134"/>
        <v>0</v>
      </c>
      <c r="CU18" s="302">
        <f>Equipe!I77</f>
        <v>0</v>
      </c>
      <c r="CV18" s="302">
        <f t="shared" ref="CV18:DF18" si="135">CU18</f>
        <v>0</v>
      </c>
      <c r="CW18" s="302">
        <f t="shared" si="135"/>
        <v>0</v>
      </c>
      <c r="CX18" s="302">
        <f t="shared" si="135"/>
        <v>0</v>
      </c>
      <c r="CY18" s="302">
        <f t="shared" si="135"/>
        <v>0</v>
      </c>
      <c r="CZ18" s="302">
        <f t="shared" si="135"/>
        <v>0</v>
      </c>
      <c r="DA18" s="302">
        <f t="shared" si="135"/>
        <v>0</v>
      </c>
      <c r="DB18" s="302">
        <f t="shared" si="135"/>
        <v>0</v>
      </c>
      <c r="DC18" s="302">
        <f t="shared" si="135"/>
        <v>0</v>
      </c>
      <c r="DD18" s="302">
        <f t="shared" si="135"/>
        <v>0</v>
      </c>
      <c r="DE18" s="302">
        <f t="shared" si="135"/>
        <v>0</v>
      </c>
      <c r="DF18" s="302">
        <f t="shared" si="135"/>
        <v>0</v>
      </c>
    </row>
    <row r="19" spans="1:110" ht="15" thickBot="1">
      <c r="A19" s="19" t="s">
        <v>15</v>
      </c>
      <c r="B19" s="5" t="s">
        <v>142</v>
      </c>
      <c r="C19" s="38">
        <f>Equipe!$J$4</f>
        <v>0</v>
      </c>
      <c r="D19" s="38">
        <f>Equipe!$J$4</f>
        <v>0</v>
      </c>
      <c r="E19" s="38">
        <f>Equipe!$J$4</f>
        <v>0</v>
      </c>
      <c r="F19" s="38">
        <f>Equipe!$J$4</f>
        <v>0</v>
      </c>
      <c r="G19" s="38">
        <f>Equipe!$J$4</f>
        <v>0</v>
      </c>
      <c r="H19" s="38">
        <f>Equipe!$J$4</f>
        <v>0</v>
      </c>
      <c r="I19" s="38">
        <f>Equipe!$J$4</f>
        <v>0</v>
      </c>
      <c r="J19" s="38">
        <f>Equipe!$J$4</f>
        <v>0</v>
      </c>
      <c r="K19" s="38">
        <f>Equipe!$J$4</f>
        <v>0</v>
      </c>
      <c r="L19" s="38">
        <f>Equipe!$J$4</f>
        <v>0</v>
      </c>
      <c r="M19" s="38">
        <f>Equipe!$J$4</f>
        <v>0</v>
      </c>
      <c r="N19" s="38">
        <f>Equipe!$J$4</f>
        <v>0</v>
      </c>
      <c r="O19" s="38">
        <f>Equipe!$J$4</f>
        <v>0</v>
      </c>
      <c r="P19" s="38">
        <f>Equipe!$J$4</f>
        <v>0</v>
      </c>
      <c r="Q19" s="38">
        <f>Equipe!$J$4</f>
        <v>0</v>
      </c>
      <c r="R19" s="38">
        <f>Equipe!$J$4</f>
        <v>0</v>
      </c>
      <c r="S19" s="38">
        <f>Equipe!$J$4</f>
        <v>0</v>
      </c>
      <c r="T19" s="5"/>
      <c r="U19" s="38">
        <f>Equipe!$J$14</f>
        <v>0</v>
      </c>
      <c r="V19" s="38">
        <f>Equipe!$J$14</f>
        <v>0</v>
      </c>
      <c r="W19" s="38">
        <f>Equipe!$J$14</f>
        <v>0</v>
      </c>
      <c r="X19" s="38">
        <f>Equipe!$J$14</f>
        <v>0</v>
      </c>
      <c r="Y19" s="38">
        <f>Equipe!$J$14</f>
        <v>0</v>
      </c>
      <c r="Z19" s="38">
        <f>Equipe!$J$14</f>
        <v>0</v>
      </c>
      <c r="AA19" s="38">
        <f>Equipe!$J$14</f>
        <v>0</v>
      </c>
      <c r="AB19" s="38">
        <f>Equipe!$J$14</f>
        <v>0</v>
      </c>
      <c r="AC19" s="38">
        <f>Equipe!$J$14</f>
        <v>0</v>
      </c>
      <c r="AD19" s="38">
        <f>Equipe!$J$14</f>
        <v>0</v>
      </c>
      <c r="AE19" s="38">
        <f>Equipe!$J$14</f>
        <v>0</v>
      </c>
      <c r="AF19" s="38">
        <f>Equipe!$J$14</f>
        <v>0</v>
      </c>
      <c r="AG19" s="5"/>
      <c r="AH19" s="38">
        <f>Equipe!$J$14</f>
        <v>0</v>
      </c>
      <c r="AI19" s="38">
        <f>Equipe!$J$14</f>
        <v>0</v>
      </c>
      <c r="AJ19" s="38">
        <f>Equipe!$J$14</f>
        <v>0</v>
      </c>
      <c r="AK19" s="38">
        <f>Equipe!$J$14</f>
        <v>0</v>
      </c>
      <c r="AL19" s="38">
        <f>Equipe!$J$14</f>
        <v>0</v>
      </c>
      <c r="AM19" s="38">
        <f>Equipe!$J$14</f>
        <v>0</v>
      </c>
      <c r="AN19" s="38">
        <f>Equipe!$J$14</f>
        <v>0</v>
      </c>
      <c r="AO19" s="38">
        <f>Equipe!$J$14</f>
        <v>0</v>
      </c>
      <c r="AP19" s="38">
        <f>Equipe!$J$14</f>
        <v>0</v>
      </c>
      <c r="AQ19" s="38">
        <f>Equipe!$J$14</f>
        <v>0</v>
      </c>
      <c r="AR19" s="38">
        <f>Equipe!$J$14</f>
        <v>0</v>
      </c>
      <c r="AS19" s="38">
        <f>Equipe!$J$14</f>
        <v>0</v>
      </c>
      <c r="AU19" s="38">
        <f>Equipe!$J$34</f>
        <v>0</v>
      </c>
      <c r="AV19" s="38">
        <f>Equipe!$J$34</f>
        <v>0</v>
      </c>
      <c r="AW19" s="38">
        <f>Equipe!$J$34</f>
        <v>0</v>
      </c>
      <c r="AX19" s="38">
        <f>Equipe!$J$34</f>
        <v>0</v>
      </c>
      <c r="AY19" s="38">
        <f>Equipe!$J$34</f>
        <v>0</v>
      </c>
      <c r="AZ19" s="38">
        <f>Equipe!$J$34</f>
        <v>0</v>
      </c>
      <c r="BA19" s="38">
        <f>Equipe!$J$34</f>
        <v>0</v>
      </c>
      <c r="BB19" s="38">
        <f>Equipe!$J$34</f>
        <v>0</v>
      </c>
      <c r="BC19" s="38">
        <f>Equipe!$J$34</f>
        <v>0</v>
      </c>
      <c r="BD19" s="38">
        <f>Equipe!$J$34</f>
        <v>0</v>
      </c>
      <c r="BE19" s="38">
        <f>Equipe!$J$34</f>
        <v>0</v>
      </c>
      <c r="BF19" s="38">
        <f>Equipe!$J$34</f>
        <v>0</v>
      </c>
      <c r="BH19" s="38">
        <f>Equipe!$J$14</f>
        <v>0</v>
      </c>
      <c r="BI19" s="38">
        <f>Equipe!$J$14</f>
        <v>0</v>
      </c>
      <c r="BJ19" s="38">
        <f>Equipe!$J$14</f>
        <v>0</v>
      </c>
      <c r="BK19" s="38">
        <f>Equipe!$J$14</f>
        <v>0</v>
      </c>
      <c r="BL19" s="38">
        <f>Equipe!$J$14</f>
        <v>0</v>
      </c>
      <c r="BM19" s="38">
        <f>Equipe!$J$14</f>
        <v>0</v>
      </c>
      <c r="BN19" s="38">
        <f>Equipe!$J$14</f>
        <v>0</v>
      </c>
      <c r="BO19" s="38">
        <f>Equipe!$J$14</f>
        <v>0</v>
      </c>
      <c r="BP19" s="38">
        <f>Equipe!$J$14</f>
        <v>0</v>
      </c>
      <c r="BQ19" s="38">
        <f>Equipe!$J$14</f>
        <v>0</v>
      </c>
      <c r="BR19" s="38">
        <f>Equipe!$J$14</f>
        <v>0</v>
      </c>
      <c r="BS19" s="38">
        <f>Equipe!$J$14</f>
        <v>0</v>
      </c>
      <c r="BU19" s="38">
        <f>Equipe!$J$14</f>
        <v>0</v>
      </c>
      <c r="BV19" s="38">
        <f>Equipe!$J$14</f>
        <v>0</v>
      </c>
      <c r="BW19" s="38">
        <f>Equipe!$J$14</f>
        <v>0</v>
      </c>
      <c r="BX19" s="38">
        <f>Equipe!$J$14</f>
        <v>0</v>
      </c>
      <c r="BY19" s="38">
        <f>Equipe!$J$14</f>
        <v>0</v>
      </c>
      <c r="BZ19" s="38">
        <f>Equipe!$J$14</f>
        <v>0</v>
      </c>
      <c r="CA19" s="38">
        <f>Equipe!$J$14</f>
        <v>0</v>
      </c>
      <c r="CB19" s="38">
        <f>Equipe!$J$14</f>
        <v>0</v>
      </c>
      <c r="CC19" s="38">
        <f>Equipe!$J$14</f>
        <v>0</v>
      </c>
      <c r="CD19" s="38">
        <f>Equipe!$J$14</f>
        <v>0</v>
      </c>
      <c r="CE19" s="38">
        <f>Equipe!$J$14</f>
        <v>0</v>
      </c>
      <c r="CF19" s="38">
        <f>Equipe!$J$14</f>
        <v>0</v>
      </c>
      <c r="CH19" s="302">
        <f>Equipe!J64</f>
        <v>0</v>
      </c>
      <c r="CI19" s="302">
        <f t="shared" ref="CI19:CS19" si="136">CH19</f>
        <v>0</v>
      </c>
      <c r="CJ19" s="302">
        <f t="shared" si="136"/>
        <v>0</v>
      </c>
      <c r="CK19" s="302">
        <f t="shared" si="136"/>
        <v>0</v>
      </c>
      <c r="CL19" s="302">
        <f t="shared" si="136"/>
        <v>0</v>
      </c>
      <c r="CM19" s="302">
        <f t="shared" si="136"/>
        <v>0</v>
      </c>
      <c r="CN19" s="302">
        <f t="shared" si="136"/>
        <v>0</v>
      </c>
      <c r="CO19" s="302">
        <f t="shared" si="136"/>
        <v>0</v>
      </c>
      <c r="CP19" s="302">
        <f t="shared" si="136"/>
        <v>0</v>
      </c>
      <c r="CQ19" s="302">
        <f t="shared" si="136"/>
        <v>0</v>
      </c>
      <c r="CR19" s="302">
        <f t="shared" si="136"/>
        <v>0</v>
      </c>
      <c r="CS19" s="302">
        <f t="shared" si="136"/>
        <v>0</v>
      </c>
      <c r="CU19" s="302">
        <f>Equipe!I74</f>
        <v>0</v>
      </c>
      <c r="CV19" s="302">
        <f t="shared" ref="CV19:DF19" si="137">CU19</f>
        <v>0</v>
      </c>
      <c r="CW19" s="302">
        <f t="shared" si="137"/>
        <v>0</v>
      </c>
      <c r="CX19" s="302">
        <f t="shared" si="137"/>
        <v>0</v>
      </c>
      <c r="CY19" s="302">
        <f t="shared" si="137"/>
        <v>0</v>
      </c>
      <c r="CZ19" s="302">
        <f t="shared" si="137"/>
        <v>0</v>
      </c>
      <c r="DA19" s="302">
        <f t="shared" si="137"/>
        <v>0</v>
      </c>
      <c r="DB19" s="302">
        <f t="shared" si="137"/>
        <v>0</v>
      </c>
      <c r="DC19" s="302">
        <f t="shared" si="137"/>
        <v>0</v>
      </c>
      <c r="DD19" s="302">
        <f t="shared" si="137"/>
        <v>0</v>
      </c>
      <c r="DE19" s="302">
        <f t="shared" si="137"/>
        <v>0</v>
      </c>
      <c r="DF19" s="302">
        <f t="shared" si="137"/>
        <v>0</v>
      </c>
    </row>
    <row r="20" spans="1:110" ht="15" thickBot="1">
      <c r="A20" s="19" t="s">
        <v>17</v>
      </c>
      <c r="B20" s="5" t="s">
        <v>151</v>
      </c>
      <c r="D20" s="38">
        <v>0</v>
      </c>
      <c r="E20" s="38">
        <v>0</v>
      </c>
      <c r="F20" s="38">
        <f>Equipe!$J$5</f>
        <v>0</v>
      </c>
      <c r="G20" s="38">
        <f>Equipe!$J$5</f>
        <v>0</v>
      </c>
      <c r="H20" s="38">
        <f>Equipe!$J$5</f>
        <v>0</v>
      </c>
      <c r="I20" s="38">
        <f>Equipe!$J$5</f>
        <v>0</v>
      </c>
      <c r="J20" s="38">
        <f>Equipe!$J$5</f>
        <v>0</v>
      </c>
      <c r="K20" s="38">
        <f>Equipe!$J$5</f>
        <v>0</v>
      </c>
      <c r="L20" s="38">
        <f>Equipe!$J$5</f>
        <v>0</v>
      </c>
      <c r="M20" s="38">
        <f>Equipe!$J$5</f>
        <v>0</v>
      </c>
      <c r="N20" s="38">
        <f>Equipe!$J$5</f>
        <v>0</v>
      </c>
      <c r="O20" s="38">
        <f>Equipe!$J$5</f>
        <v>0</v>
      </c>
      <c r="P20" s="38">
        <f>Equipe!$J$5</f>
        <v>0</v>
      </c>
      <c r="Q20" s="38">
        <f>Equipe!$J$5</f>
        <v>0</v>
      </c>
      <c r="R20" s="38">
        <f>Equipe!$J$5</f>
        <v>0</v>
      </c>
      <c r="S20" s="38">
        <f>Equipe!$J$5</f>
        <v>0</v>
      </c>
      <c r="T20" s="5"/>
      <c r="U20" s="38">
        <f>Equipe!$J$15</f>
        <v>0</v>
      </c>
      <c r="V20" s="38">
        <f>Equipe!$J$15</f>
        <v>0</v>
      </c>
      <c r="W20" s="38">
        <f>Equipe!$J$15</f>
        <v>0</v>
      </c>
      <c r="X20" s="38">
        <f>Equipe!$J$15</f>
        <v>0</v>
      </c>
      <c r="Y20" s="38">
        <f>Equipe!$J$15</f>
        <v>0</v>
      </c>
      <c r="Z20" s="38">
        <f>Equipe!$J$15</f>
        <v>0</v>
      </c>
      <c r="AA20" s="38">
        <f>Equipe!$J$15</f>
        <v>0</v>
      </c>
      <c r="AB20" s="38">
        <f>Equipe!$J$15</f>
        <v>0</v>
      </c>
      <c r="AC20" s="38">
        <f>Equipe!$J$15</f>
        <v>0</v>
      </c>
      <c r="AD20" s="38">
        <f>Equipe!$J$15</f>
        <v>0</v>
      </c>
      <c r="AE20" s="38">
        <f>Equipe!$J$15</f>
        <v>0</v>
      </c>
      <c r="AF20" s="38">
        <f>Equipe!$J$15</f>
        <v>0</v>
      </c>
      <c r="AG20" s="5"/>
      <c r="AH20" s="38">
        <f>Equipe!$J$25</f>
        <v>0</v>
      </c>
      <c r="AI20" s="38">
        <f>Equipe!$J$25</f>
        <v>0</v>
      </c>
      <c r="AJ20" s="38">
        <f>Equipe!$J$25</f>
        <v>0</v>
      </c>
      <c r="AK20" s="38">
        <f>Equipe!$J$25</f>
        <v>0</v>
      </c>
      <c r="AL20" s="38">
        <f>Equipe!$J$25</f>
        <v>0</v>
      </c>
      <c r="AM20" s="38">
        <f>Equipe!$J$25</f>
        <v>0</v>
      </c>
      <c r="AN20" s="38">
        <f>Equipe!$J$25</f>
        <v>0</v>
      </c>
      <c r="AO20" s="38">
        <f>Equipe!$J$25</f>
        <v>0</v>
      </c>
      <c r="AP20" s="38">
        <f>Equipe!$J$25</f>
        <v>0</v>
      </c>
      <c r="AQ20" s="38">
        <f>Equipe!$J$25</f>
        <v>0</v>
      </c>
      <c r="AR20" s="38">
        <f>Equipe!$J$25</f>
        <v>0</v>
      </c>
      <c r="AS20" s="38">
        <f>Equipe!$J$25</f>
        <v>0</v>
      </c>
      <c r="AU20" s="38">
        <f>Equipe!$J$35</f>
        <v>0</v>
      </c>
      <c r="AV20" s="38">
        <f>Equipe!$J$35</f>
        <v>0</v>
      </c>
      <c r="AW20" s="38">
        <f>Equipe!$J$35</f>
        <v>0</v>
      </c>
      <c r="AX20" s="38">
        <f>Equipe!$J$35</f>
        <v>0</v>
      </c>
      <c r="AY20" s="38">
        <f>Equipe!$J$35</f>
        <v>0</v>
      </c>
      <c r="AZ20" s="38">
        <f>Equipe!$J$35</f>
        <v>0</v>
      </c>
      <c r="BA20" s="38">
        <f>Equipe!$J$35</f>
        <v>0</v>
      </c>
      <c r="BB20" s="38">
        <f>Equipe!$J$35</f>
        <v>0</v>
      </c>
      <c r="BC20" s="38">
        <f>Equipe!$J$35</f>
        <v>0</v>
      </c>
      <c r="BD20" s="38">
        <f>Equipe!$J$35</f>
        <v>0</v>
      </c>
      <c r="BE20" s="38">
        <f>Equipe!$J$35</f>
        <v>0</v>
      </c>
      <c r="BF20" s="38">
        <f>Equipe!$J$35</f>
        <v>0</v>
      </c>
      <c r="BH20" s="38">
        <f>Equipe!$J$45</f>
        <v>0</v>
      </c>
      <c r="BI20" s="38">
        <f>Equipe!$J$45</f>
        <v>0</v>
      </c>
      <c r="BJ20" s="38">
        <f>Equipe!$J$45</f>
        <v>0</v>
      </c>
      <c r="BK20" s="38">
        <f>Equipe!$J$45</f>
        <v>0</v>
      </c>
      <c r="BL20" s="38">
        <f>Equipe!$J$45</f>
        <v>0</v>
      </c>
      <c r="BM20" s="38">
        <f>Equipe!$J$45</f>
        <v>0</v>
      </c>
      <c r="BN20" s="38">
        <f>Equipe!$J$45</f>
        <v>0</v>
      </c>
      <c r="BO20" s="38">
        <f>Equipe!$J$45</f>
        <v>0</v>
      </c>
      <c r="BP20" s="38">
        <f>Equipe!$J$45</f>
        <v>0</v>
      </c>
      <c r="BQ20" s="38">
        <f>Equipe!$J$45</f>
        <v>0</v>
      </c>
      <c r="BR20" s="38">
        <f>Equipe!$J$45</f>
        <v>0</v>
      </c>
      <c r="BS20" s="38">
        <f>Equipe!$J$45</f>
        <v>0</v>
      </c>
      <c r="BU20" s="38">
        <f>Equipe!$J$55</f>
        <v>0</v>
      </c>
      <c r="BV20" s="38">
        <f>Equipe!$J$55</f>
        <v>0</v>
      </c>
      <c r="BW20" s="38">
        <f>Equipe!$J$55</f>
        <v>0</v>
      </c>
      <c r="BX20" s="38">
        <f>Equipe!$J$55</f>
        <v>0</v>
      </c>
      <c r="BY20" s="38">
        <f>Equipe!$J$55</f>
        <v>0</v>
      </c>
      <c r="BZ20" s="38">
        <f>Equipe!$J$55</f>
        <v>0</v>
      </c>
      <c r="CA20" s="38">
        <f>Equipe!$J$55</f>
        <v>0</v>
      </c>
      <c r="CB20" s="38">
        <f>Equipe!$J$55</f>
        <v>0</v>
      </c>
      <c r="CC20" s="38">
        <f>Equipe!$J$55</f>
        <v>0</v>
      </c>
      <c r="CD20" s="38">
        <f>Equipe!$J$55</f>
        <v>0</v>
      </c>
      <c r="CE20" s="38">
        <f>Equipe!$J$55</f>
        <v>0</v>
      </c>
      <c r="CF20" s="38">
        <f>Equipe!$J$55</f>
        <v>0</v>
      </c>
      <c r="CH20" s="302">
        <f>Equipe!J65</f>
        <v>0</v>
      </c>
      <c r="CI20" s="302">
        <f t="shared" ref="CI20:CS20" si="138">CH20</f>
        <v>0</v>
      </c>
      <c r="CJ20" s="302">
        <f t="shared" si="138"/>
        <v>0</v>
      </c>
      <c r="CK20" s="302">
        <f t="shared" si="138"/>
        <v>0</v>
      </c>
      <c r="CL20" s="302">
        <f t="shared" si="138"/>
        <v>0</v>
      </c>
      <c r="CM20" s="302">
        <f t="shared" si="138"/>
        <v>0</v>
      </c>
      <c r="CN20" s="302">
        <f t="shared" si="138"/>
        <v>0</v>
      </c>
      <c r="CO20" s="302">
        <f t="shared" si="138"/>
        <v>0</v>
      </c>
      <c r="CP20" s="302">
        <f t="shared" si="138"/>
        <v>0</v>
      </c>
      <c r="CQ20" s="302">
        <f t="shared" si="138"/>
        <v>0</v>
      </c>
      <c r="CR20" s="302">
        <f t="shared" si="138"/>
        <v>0</v>
      </c>
      <c r="CS20" s="302">
        <f t="shared" si="138"/>
        <v>0</v>
      </c>
      <c r="CU20" s="302">
        <f>Equipe!I75</f>
        <v>0</v>
      </c>
      <c r="CV20" s="302">
        <f t="shared" ref="CV20:DF20" si="139">CU20</f>
        <v>0</v>
      </c>
      <c r="CW20" s="313">
        <f t="shared" si="139"/>
        <v>0</v>
      </c>
      <c r="CX20" s="313">
        <f t="shared" si="139"/>
        <v>0</v>
      </c>
      <c r="CY20" s="313">
        <f t="shared" si="139"/>
        <v>0</v>
      </c>
      <c r="CZ20" s="313">
        <f t="shared" si="139"/>
        <v>0</v>
      </c>
      <c r="DA20" s="313">
        <f t="shared" si="139"/>
        <v>0</v>
      </c>
      <c r="DB20" s="313">
        <f t="shared" si="139"/>
        <v>0</v>
      </c>
      <c r="DC20" s="313">
        <f t="shared" si="139"/>
        <v>0</v>
      </c>
      <c r="DD20" s="313">
        <f t="shared" si="139"/>
        <v>0</v>
      </c>
      <c r="DE20" s="313">
        <f t="shared" si="139"/>
        <v>0</v>
      </c>
      <c r="DF20" s="313">
        <f t="shared" si="139"/>
        <v>0</v>
      </c>
    </row>
    <row r="21" spans="1:110" ht="15" thickBot="1">
      <c r="A21" s="19" t="s">
        <v>19</v>
      </c>
      <c r="B21" s="5" t="s">
        <v>197</v>
      </c>
      <c r="D21" s="38">
        <v>0</v>
      </c>
      <c r="E21" s="38">
        <v>0</v>
      </c>
      <c r="F21" s="38">
        <f>Equipe!$J$8</f>
        <v>0</v>
      </c>
      <c r="G21" s="38">
        <f>Equipe!$J$8</f>
        <v>0</v>
      </c>
      <c r="H21" s="38">
        <f>Equipe!$J$8</f>
        <v>0</v>
      </c>
      <c r="I21" s="38">
        <f>Equipe!$J$8</f>
        <v>0</v>
      </c>
      <c r="J21" s="38">
        <f>Equipe!$J$8</f>
        <v>0</v>
      </c>
      <c r="K21" s="38">
        <f>Equipe!$J$8</f>
        <v>0</v>
      </c>
      <c r="L21" s="38">
        <f>Equipe!$J$8</f>
        <v>0</v>
      </c>
      <c r="M21" s="38">
        <f>Equipe!$J$8</f>
        <v>0</v>
      </c>
      <c r="N21" s="38">
        <f>Equipe!$J$8</f>
        <v>0</v>
      </c>
      <c r="O21" s="38">
        <f>Equipe!$J$8</f>
        <v>0</v>
      </c>
      <c r="P21" s="38">
        <f>Equipe!$J$8</f>
        <v>0</v>
      </c>
      <c r="Q21" s="38">
        <f>Equipe!$J$8</f>
        <v>0</v>
      </c>
      <c r="R21" s="38">
        <f>Equipe!$J$8</f>
        <v>0</v>
      </c>
      <c r="S21" s="38">
        <f>Equipe!$J$8</f>
        <v>0</v>
      </c>
      <c r="T21" s="5"/>
      <c r="U21" s="38">
        <f>Equipe!$J$18</f>
        <v>0</v>
      </c>
      <c r="V21" s="38">
        <f>Equipe!$J$18</f>
        <v>0</v>
      </c>
      <c r="W21" s="38">
        <f>Equipe!$J$18</f>
        <v>0</v>
      </c>
      <c r="X21" s="38">
        <f>Equipe!$J$18</f>
        <v>0</v>
      </c>
      <c r="Y21" s="38">
        <f>Equipe!$J$18</f>
        <v>0</v>
      </c>
      <c r="Z21" s="38">
        <f>Equipe!$J$18</f>
        <v>0</v>
      </c>
      <c r="AA21" s="38">
        <f>Equipe!$J$18</f>
        <v>0</v>
      </c>
      <c r="AB21" s="38">
        <f>Equipe!$J$18</f>
        <v>0</v>
      </c>
      <c r="AC21" s="38">
        <f>Equipe!$J$18</f>
        <v>0</v>
      </c>
      <c r="AD21" s="38">
        <f>Equipe!$J$18</f>
        <v>0</v>
      </c>
      <c r="AE21" s="38">
        <f>Equipe!$J$18</f>
        <v>0</v>
      </c>
      <c r="AF21" s="38">
        <f>Equipe!$J$18</f>
        <v>0</v>
      </c>
      <c r="AG21" s="5"/>
      <c r="AH21" s="38">
        <f>Equipe!$J$28</f>
        <v>0</v>
      </c>
      <c r="AI21" s="38">
        <f>Equipe!$J$28</f>
        <v>0</v>
      </c>
      <c r="AJ21" s="38">
        <f>Equipe!$J$28</f>
        <v>0</v>
      </c>
      <c r="AK21" s="38">
        <f>Equipe!$J$28</f>
        <v>0</v>
      </c>
      <c r="AL21" s="38">
        <f>Equipe!$J$28</f>
        <v>0</v>
      </c>
      <c r="AM21" s="38">
        <f>Equipe!$J$28</f>
        <v>0</v>
      </c>
      <c r="AN21" s="38">
        <f>Equipe!$J$28</f>
        <v>0</v>
      </c>
      <c r="AO21" s="38">
        <f>Equipe!$J$28</f>
        <v>0</v>
      </c>
      <c r="AP21" s="38">
        <f>Equipe!$J$28</f>
        <v>0</v>
      </c>
      <c r="AQ21" s="38">
        <f>Equipe!$J$28</f>
        <v>0</v>
      </c>
      <c r="AR21" s="38">
        <f>Equipe!$J$28</f>
        <v>0</v>
      </c>
      <c r="AS21" s="38">
        <f>Equipe!$J$28</f>
        <v>0</v>
      </c>
      <c r="AU21" s="38">
        <f>Equipe!$J$38</f>
        <v>0</v>
      </c>
      <c r="AV21" s="38">
        <f>Equipe!$J$38</f>
        <v>0</v>
      </c>
      <c r="AW21" s="38">
        <f>Equipe!$J$38</f>
        <v>0</v>
      </c>
      <c r="AX21" s="38">
        <f>Equipe!$J$38</f>
        <v>0</v>
      </c>
      <c r="AY21" s="38">
        <f>Equipe!$J$38</f>
        <v>0</v>
      </c>
      <c r="AZ21" s="38">
        <f>Equipe!$J$38</f>
        <v>0</v>
      </c>
      <c r="BA21" s="38">
        <f>Equipe!$J$38</f>
        <v>0</v>
      </c>
      <c r="BB21" s="38">
        <f>Equipe!$J$38</f>
        <v>0</v>
      </c>
      <c r="BC21" s="38">
        <f>Equipe!$J$38</f>
        <v>0</v>
      </c>
      <c r="BD21" s="38">
        <f>Equipe!$J$38</f>
        <v>0</v>
      </c>
      <c r="BE21" s="38">
        <f>Equipe!$J$38</f>
        <v>0</v>
      </c>
      <c r="BF21" s="38">
        <f>Equipe!$J$38</f>
        <v>0</v>
      </c>
      <c r="BH21" s="38">
        <f>Equipe!$J$48</f>
        <v>0</v>
      </c>
      <c r="BI21" s="38">
        <f>Equipe!$J$48</f>
        <v>0</v>
      </c>
      <c r="BJ21" s="38">
        <f>Equipe!$J$48</f>
        <v>0</v>
      </c>
      <c r="BK21" s="38">
        <f>Equipe!$J$48</f>
        <v>0</v>
      </c>
      <c r="BL21" s="38">
        <f>Equipe!$J$48</f>
        <v>0</v>
      </c>
      <c r="BM21" s="38">
        <f>Equipe!$J$48</f>
        <v>0</v>
      </c>
      <c r="BN21" s="38">
        <f>Equipe!$J$48</f>
        <v>0</v>
      </c>
      <c r="BO21" s="38">
        <f>Equipe!$J$48</f>
        <v>0</v>
      </c>
      <c r="BP21" s="38">
        <f>Equipe!$J$48</f>
        <v>0</v>
      </c>
      <c r="BQ21" s="38">
        <f>Equipe!$J$48</f>
        <v>0</v>
      </c>
      <c r="BR21" s="38">
        <f>Equipe!$J$48</f>
        <v>0</v>
      </c>
      <c r="BS21" s="38">
        <f>Equipe!$J$48</f>
        <v>0</v>
      </c>
      <c r="BU21" s="38">
        <f>Equipe!$J$58</f>
        <v>0</v>
      </c>
      <c r="BV21" s="38">
        <f>Equipe!$J$58</f>
        <v>0</v>
      </c>
      <c r="BW21" s="38">
        <f>Equipe!$J$58</f>
        <v>0</v>
      </c>
      <c r="BX21" s="38">
        <f>Equipe!$J$58</f>
        <v>0</v>
      </c>
      <c r="BY21" s="38">
        <f>Equipe!$J$58</f>
        <v>0</v>
      </c>
      <c r="BZ21" s="38">
        <f>Equipe!$J$58</f>
        <v>0</v>
      </c>
      <c r="CA21" s="38">
        <f>Equipe!$J$58</f>
        <v>0</v>
      </c>
      <c r="CB21" s="38">
        <f>Equipe!$J$58</f>
        <v>0</v>
      </c>
      <c r="CC21" s="38">
        <f>Equipe!$J$58</f>
        <v>0</v>
      </c>
      <c r="CD21" s="38">
        <f>Equipe!$J$58</f>
        <v>0</v>
      </c>
      <c r="CE21" s="38">
        <f>Equipe!$J$58</f>
        <v>0</v>
      </c>
      <c r="CF21" s="38">
        <f>Equipe!$J$58</f>
        <v>0</v>
      </c>
      <c r="CH21" s="302">
        <f>Equipe!J68</f>
        <v>0</v>
      </c>
      <c r="CI21" s="302">
        <f t="shared" ref="CI21:CS21" si="140">CH21</f>
        <v>0</v>
      </c>
      <c r="CJ21" s="302">
        <f t="shared" si="140"/>
        <v>0</v>
      </c>
      <c r="CK21" s="302">
        <f t="shared" si="140"/>
        <v>0</v>
      </c>
      <c r="CL21" s="302">
        <f t="shared" si="140"/>
        <v>0</v>
      </c>
      <c r="CM21" s="302">
        <f t="shared" si="140"/>
        <v>0</v>
      </c>
      <c r="CN21" s="302">
        <f t="shared" si="140"/>
        <v>0</v>
      </c>
      <c r="CO21" s="302">
        <f t="shared" si="140"/>
        <v>0</v>
      </c>
      <c r="CP21" s="302">
        <f t="shared" si="140"/>
        <v>0</v>
      </c>
      <c r="CQ21" s="302">
        <f t="shared" si="140"/>
        <v>0</v>
      </c>
      <c r="CR21" s="302">
        <f t="shared" si="140"/>
        <v>0</v>
      </c>
      <c r="CS21" s="302">
        <f t="shared" si="140"/>
        <v>0</v>
      </c>
      <c r="CU21" s="302">
        <f>Equipe!I78</f>
        <v>0</v>
      </c>
      <c r="CV21" s="302">
        <f t="shared" ref="CV21:DF21" si="141">CU21</f>
        <v>0</v>
      </c>
      <c r="CW21" s="313">
        <f t="shared" si="141"/>
        <v>0</v>
      </c>
      <c r="CX21" s="313">
        <f t="shared" si="141"/>
        <v>0</v>
      </c>
      <c r="CY21" s="313">
        <f t="shared" si="141"/>
        <v>0</v>
      </c>
      <c r="CZ21" s="313">
        <f t="shared" si="141"/>
        <v>0</v>
      </c>
      <c r="DA21" s="313">
        <f t="shared" si="141"/>
        <v>0</v>
      </c>
      <c r="DB21" s="313">
        <f t="shared" si="141"/>
        <v>0</v>
      </c>
      <c r="DC21" s="313">
        <f t="shared" si="141"/>
        <v>0</v>
      </c>
      <c r="DD21" s="313">
        <f t="shared" si="141"/>
        <v>0</v>
      </c>
      <c r="DE21" s="313">
        <f t="shared" si="141"/>
        <v>0</v>
      </c>
      <c r="DF21" s="313">
        <f t="shared" si="141"/>
        <v>0</v>
      </c>
    </row>
    <row r="22" spans="1:110" ht="15" thickBot="1">
      <c r="A22" s="19" t="s">
        <v>157</v>
      </c>
      <c r="B22" s="5" t="s">
        <v>16</v>
      </c>
      <c r="D22" s="26">
        <v>0</v>
      </c>
      <c r="E22" s="26">
        <v>0</v>
      </c>
      <c r="F22" s="26">
        <f>Equipe!D10</f>
        <v>5000</v>
      </c>
      <c r="G22" s="26">
        <f t="shared" ref="G22:M22" si="142">F22</f>
        <v>5000</v>
      </c>
      <c r="H22" s="26">
        <f t="shared" si="142"/>
        <v>5000</v>
      </c>
      <c r="I22" s="26">
        <f t="shared" si="142"/>
        <v>5000</v>
      </c>
      <c r="J22" s="26">
        <f t="shared" si="142"/>
        <v>5000</v>
      </c>
      <c r="K22" s="26">
        <f t="shared" si="142"/>
        <v>5000</v>
      </c>
      <c r="L22" s="26">
        <f t="shared" si="142"/>
        <v>5000</v>
      </c>
      <c r="M22" s="26">
        <f t="shared" si="142"/>
        <v>5000</v>
      </c>
      <c r="N22" s="26">
        <f>Equipe!$J$10</f>
        <v>5000</v>
      </c>
      <c r="O22" s="26">
        <f>Equipe!$J$10</f>
        <v>5000</v>
      </c>
      <c r="P22" s="26">
        <f>Equipe!$J$10</f>
        <v>5000</v>
      </c>
      <c r="Q22" s="26">
        <f>Equipe!$J$10</f>
        <v>5000</v>
      </c>
      <c r="R22" s="26">
        <f>Equipe!$J$10</f>
        <v>5000</v>
      </c>
      <c r="S22" s="26">
        <f>Equipe!$J$10</f>
        <v>5000</v>
      </c>
      <c r="T22" s="5"/>
      <c r="U22" s="26">
        <f>Equipe!$J$20</f>
        <v>5000</v>
      </c>
      <c r="V22" s="26">
        <f>Equipe!$J$20</f>
        <v>5000</v>
      </c>
      <c r="W22" s="26">
        <f>Equipe!$J$20</f>
        <v>5000</v>
      </c>
      <c r="X22" s="26">
        <f>Equipe!$J$20</f>
        <v>5000</v>
      </c>
      <c r="Y22" s="26">
        <f>Equipe!$J$20</f>
        <v>5000</v>
      </c>
      <c r="Z22" s="26">
        <f>Equipe!$J$20</f>
        <v>5000</v>
      </c>
      <c r="AA22" s="26">
        <f>Equipe!$J$20</f>
        <v>5000</v>
      </c>
      <c r="AB22" s="26">
        <f>Equipe!$J$20</f>
        <v>5000</v>
      </c>
      <c r="AC22" s="26">
        <f>Equipe!$J$20</f>
        <v>5000</v>
      </c>
      <c r="AD22" s="26">
        <f>Equipe!$J$20</f>
        <v>5000</v>
      </c>
      <c r="AE22" s="26">
        <f>Equipe!$J$20</f>
        <v>5000</v>
      </c>
      <c r="AF22" s="26">
        <f>Equipe!$J$20</f>
        <v>5000</v>
      </c>
      <c r="AG22" s="5"/>
      <c r="AH22" s="26">
        <f>Equipe!$J$30</f>
        <v>5500</v>
      </c>
      <c r="AI22" s="26">
        <f>Equipe!$J$30</f>
        <v>5500</v>
      </c>
      <c r="AJ22" s="26">
        <f>Equipe!$J$30</f>
        <v>5500</v>
      </c>
      <c r="AK22" s="26">
        <f>Equipe!$J$30</f>
        <v>5500</v>
      </c>
      <c r="AL22" s="26">
        <f>Equipe!$J$30</f>
        <v>5500</v>
      </c>
      <c r="AM22" s="26">
        <f>Equipe!$J$30</f>
        <v>5500</v>
      </c>
      <c r="AN22" s="26">
        <f>Equipe!$J$30</f>
        <v>5500</v>
      </c>
      <c r="AO22" s="26">
        <f>Equipe!$J$30</f>
        <v>5500</v>
      </c>
      <c r="AP22" s="26">
        <f>Equipe!$J$30</f>
        <v>5500</v>
      </c>
      <c r="AQ22" s="26">
        <f>Equipe!$J$30</f>
        <v>5500</v>
      </c>
      <c r="AR22" s="26">
        <f>Equipe!$J$30</f>
        <v>5500</v>
      </c>
      <c r="AS22" s="26">
        <f>Equipe!$J$30</f>
        <v>5500</v>
      </c>
      <c r="AU22" s="26">
        <f>Equipe!$J$40</f>
        <v>5500</v>
      </c>
      <c r="AV22" s="26">
        <f>Equipe!$J$40</f>
        <v>5500</v>
      </c>
      <c r="AW22" s="26">
        <f>Equipe!$J$40</f>
        <v>5500</v>
      </c>
      <c r="AX22" s="26">
        <f>Equipe!$J$40</f>
        <v>5500</v>
      </c>
      <c r="AY22" s="26">
        <f>Equipe!$J$40</f>
        <v>5500</v>
      </c>
      <c r="AZ22" s="26">
        <f>Equipe!$J$40</f>
        <v>5500</v>
      </c>
      <c r="BA22" s="26">
        <f>Equipe!$J$40</f>
        <v>5500</v>
      </c>
      <c r="BB22" s="26">
        <f>Equipe!$J$40</f>
        <v>5500</v>
      </c>
      <c r="BC22" s="26">
        <f>Equipe!$J$40</f>
        <v>5500</v>
      </c>
      <c r="BD22" s="26">
        <f>Equipe!$J$40</f>
        <v>5500</v>
      </c>
      <c r="BE22" s="26">
        <f>Equipe!$J$40</f>
        <v>5500</v>
      </c>
      <c r="BF22" s="26">
        <f>Equipe!$J$40</f>
        <v>5500</v>
      </c>
      <c r="BH22" s="26">
        <f>Equipe!$J$50</f>
        <v>6000</v>
      </c>
      <c r="BI22" s="26">
        <f>Equipe!$J$50</f>
        <v>6000</v>
      </c>
      <c r="BJ22" s="26">
        <f>Equipe!$J$50</f>
        <v>6000</v>
      </c>
      <c r="BK22" s="26">
        <f>Equipe!$J$50</f>
        <v>6000</v>
      </c>
      <c r="BL22" s="26">
        <f>Equipe!$J$50</f>
        <v>6000</v>
      </c>
      <c r="BM22" s="26">
        <f>Equipe!$J$50</f>
        <v>6000</v>
      </c>
      <c r="BN22" s="26">
        <f>Equipe!$J$50</f>
        <v>6000</v>
      </c>
      <c r="BO22" s="26">
        <f>Equipe!$J$50</f>
        <v>6000</v>
      </c>
      <c r="BP22" s="26">
        <f>Equipe!$J$50</f>
        <v>6000</v>
      </c>
      <c r="BQ22" s="26">
        <f>Equipe!$J$50</f>
        <v>6000</v>
      </c>
      <c r="BR22" s="26">
        <f>Equipe!$J$50</f>
        <v>6000</v>
      </c>
      <c r="BS22" s="26">
        <f>Equipe!$J$50</f>
        <v>6000</v>
      </c>
      <c r="BU22" s="26">
        <f>Equipe!$J$60</f>
        <v>6000</v>
      </c>
      <c r="BV22" s="26">
        <f>Equipe!$J$60</f>
        <v>6000</v>
      </c>
      <c r="BW22" s="26">
        <f>Equipe!$J$60</f>
        <v>6000</v>
      </c>
      <c r="BX22" s="26">
        <f>Equipe!$J$60</f>
        <v>6000</v>
      </c>
      <c r="BY22" s="26">
        <f>Equipe!$J$60</f>
        <v>6000</v>
      </c>
      <c r="BZ22" s="26">
        <f>Equipe!$J$60</f>
        <v>6000</v>
      </c>
      <c r="CA22" s="26">
        <f>Equipe!$J$60</f>
        <v>6000</v>
      </c>
      <c r="CB22" s="26">
        <f>Equipe!$J$60</f>
        <v>6000</v>
      </c>
      <c r="CC22" s="26">
        <f>Equipe!$J$60</f>
        <v>6000</v>
      </c>
      <c r="CD22" s="26">
        <f>Equipe!$J$60</f>
        <v>6000</v>
      </c>
      <c r="CE22" s="26">
        <f>Equipe!$J$60</f>
        <v>6000</v>
      </c>
      <c r="CF22" s="26">
        <f>Equipe!$J$60</f>
        <v>6000</v>
      </c>
      <c r="CH22" s="302">
        <f>Equipe!D70</f>
        <v>6600</v>
      </c>
      <c r="CI22" s="302">
        <f t="shared" ref="CI22:CS22" si="143">CH22</f>
        <v>6600</v>
      </c>
      <c r="CJ22" s="302">
        <f t="shared" si="143"/>
        <v>6600</v>
      </c>
      <c r="CK22" s="302">
        <f t="shared" si="143"/>
        <v>6600</v>
      </c>
      <c r="CL22" s="302">
        <f t="shared" si="143"/>
        <v>6600</v>
      </c>
      <c r="CM22" s="302">
        <f t="shared" si="143"/>
        <v>6600</v>
      </c>
      <c r="CN22" s="302">
        <f t="shared" si="143"/>
        <v>6600</v>
      </c>
      <c r="CO22" s="302">
        <f t="shared" si="143"/>
        <v>6600</v>
      </c>
      <c r="CP22" s="302">
        <f t="shared" si="143"/>
        <v>6600</v>
      </c>
      <c r="CQ22" s="302">
        <f t="shared" si="143"/>
        <v>6600</v>
      </c>
      <c r="CR22" s="302">
        <f t="shared" si="143"/>
        <v>6600</v>
      </c>
      <c r="CS22" s="302">
        <f t="shared" si="143"/>
        <v>6600</v>
      </c>
      <c r="CU22" s="302">
        <f>Equipe!D80</f>
        <v>7200</v>
      </c>
      <c r="CV22" s="302">
        <f t="shared" ref="CV22:DF22" si="144">CU22</f>
        <v>7200</v>
      </c>
      <c r="CW22" s="313">
        <f t="shared" si="144"/>
        <v>7200</v>
      </c>
      <c r="CX22" s="313">
        <f t="shared" si="144"/>
        <v>7200</v>
      </c>
      <c r="CY22" s="313">
        <f t="shared" si="144"/>
        <v>7200</v>
      </c>
      <c r="CZ22" s="313">
        <f t="shared" si="144"/>
        <v>7200</v>
      </c>
      <c r="DA22" s="313">
        <f t="shared" si="144"/>
        <v>7200</v>
      </c>
      <c r="DB22" s="313">
        <f t="shared" si="144"/>
        <v>7200</v>
      </c>
      <c r="DC22" s="313">
        <f t="shared" si="144"/>
        <v>7200</v>
      </c>
      <c r="DD22" s="313">
        <f t="shared" si="144"/>
        <v>7200</v>
      </c>
      <c r="DE22" s="313">
        <f t="shared" si="144"/>
        <v>7200</v>
      </c>
      <c r="DF22" s="313">
        <f t="shared" si="144"/>
        <v>7200</v>
      </c>
    </row>
    <row r="23" spans="1:110" ht="15" thickBot="1">
      <c r="A23" s="19" t="s">
        <v>158</v>
      </c>
      <c r="B23" s="20" t="s">
        <v>18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5"/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5"/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  <c r="CH23" s="307">
        <v>0</v>
      </c>
      <c r="CI23" s="302">
        <f t="shared" ref="CI23:CS23" si="145">CH23</f>
        <v>0</v>
      </c>
      <c r="CJ23" s="302">
        <f t="shared" si="145"/>
        <v>0</v>
      </c>
      <c r="CK23" s="302">
        <f t="shared" si="145"/>
        <v>0</v>
      </c>
      <c r="CL23" s="302">
        <f t="shared" si="145"/>
        <v>0</v>
      </c>
      <c r="CM23" s="302">
        <f t="shared" si="145"/>
        <v>0</v>
      </c>
      <c r="CN23" s="302">
        <f t="shared" si="145"/>
        <v>0</v>
      </c>
      <c r="CO23" s="302">
        <f t="shared" si="145"/>
        <v>0</v>
      </c>
      <c r="CP23" s="302">
        <f t="shared" si="145"/>
        <v>0</v>
      </c>
      <c r="CQ23" s="302">
        <f t="shared" si="145"/>
        <v>0</v>
      </c>
      <c r="CR23" s="302">
        <f t="shared" si="145"/>
        <v>0</v>
      </c>
      <c r="CS23" s="302">
        <f t="shared" si="145"/>
        <v>0</v>
      </c>
      <c r="CU23" s="313">
        <v>0</v>
      </c>
      <c r="CV23" s="313">
        <v>0</v>
      </c>
      <c r="CW23" s="313">
        <v>0</v>
      </c>
      <c r="CX23" s="313">
        <v>0</v>
      </c>
      <c r="CY23" s="313">
        <v>0</v>
      </c>
      <c r="CZ23" s="313">
        <v>0</v>
      </c>
      <c r="DA23" s="313">
        <v>0</v>
      </c>
      <c r="DB23" s="313">
        <v>0</v>
      </c>
      <c r="DC23" s="313">
        <v>0</v>
      </c>
      <c r="DD23" s="313">
        <v>0</v>
      </c>
      <c r="DE23" s="313">
        <v>0</v>
      </c>
      <c r="DF23" s="313">
        <v>0</v>
      </c>
    </row>
    <row r="24" spans="1:110" ht="15" thickBot="1">
      <c r="A24" s="19" t="s">
        <v>196</v>
      </c>
      <c r="B24" s="20" t="s">
        <v>20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5"/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5"/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U24" s="26">
        <v>0</v>
      </c>
      <c r="BV24" s="26">
        <v>0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6">
        <v>0</v>
      </c>
      <c r="CH24" s="307">
        <v>0</v>
      </c>
      <c r="CI24" s="302">
        <f t="shared" ref="CI24:CS24" si="146">CH24</f>
        <v>0</v>
      </c>
      <c r="CJ24" s="302">
        <f t="shared" si="146"/>
        <v>0</v>
      </c>
      <c r="CK24" s="302">
        <f t="shared" si="146"/>
        <v>0</v>
      </c>
      <c r="CL24" s="302">
        <f t="shared" si="146"/>
        <v>0</v>
      </c>
      <c r="CM24" s="302">
        <f t="shared" si="146"/>
        <v>0</v>
      </c>
      <c r="CN24" s="302">
        <f t="shared" si="146"/>
        <v>0</v>
      </c>
      <c r="CO24" s="302">
        <f t="shared" si="146"/>
        <v>0</v>
      </c>
      <c r="CP24" s="302">
        <f t="shared" si="146"/>
        <v>0</v>
      </c>
      <c r="CQ24" s="302">
        <f t="shared" si="146"/>
        <v>0</v>
      </c>
      <c r="CR24" s="302">
        <f t="shared" si="146"/>
        <v>0</v>
      </c>
      <c r="CS24" s="302">
        <f t="shared" si="146"/>
        <v>0</v>
      </c>
      <c r="CU24" s="313">
        <v>0</v>
      </c>
      <c r="CV24" s="313">
        <v>0</v>
      </c>
      <c r="CW24" s="313">
        <v>0</v>
      </c>
      <c r="CX24" s="313">
        <v>0</v>
      </c>
      <c r="CY24" s="313">
        <v>0</v>
      </c>
      <c r="CZ24" s="313">
        <v>0</v>
      </c>
      <c r="DA24" s="313">
        <v>0</v>
      </c>
      <c r="DB24" s="313">
        <v>0</v>
      </c>
      <c r="DC24" s="313">
        <v>0</v>
      </c>
      <c r="DD24" s="313">
        <v>0</v>
      </c>
      <c r="DE24" s="313">
        <v>0</v>
      </c>
      <c r="DF24" s="313">
        <v>0</v>
      </c>
    </row>
    <row r="25" spans="1:110" ht="15.75" thickBot="1">
      <c r="A25" s="16" t="s">
        <v>21</v>
      </c>
      <c r="B25" s="10" t="s">
        <v>22</v>
      </c>
      <c r="C25">
        <f>SUM(C26:C29)</f>
        <v>0</v>
      </c>
      <c r="D25" s="27">
        <f>SUM(D26:D29)</f>
        <v>0</v>
      </c>
      <c r="E25" s="27">
        <f t="shared" ref="E25:G25" si="147">SUM(E26:E29)</f>
        <v>0</v>
      </c>
      <c r="F25" s="27">
        <f t="shared" si="147"/>
        <v>4754</v>
      </c>
      <c r="G25" s="27">
        <f t="shared" si="147"/>
        <v>4754</v>
      </c>
      <c r="H25" s="27">
        <f>SUM(H26:H29)</f>
        <v>4754</v>
      </c>
      <c r="I25" s="27">
        <f t="shared" ref="I25:S25" si="148">SUM(I26:I29)</f>
        <v>4754</v>
      </c>
      <c r="J25" s="27">
        <f t="shared" si="148"/>
        <v>4754</v>
      </c>
      <c r="K25" s="27">
        <f t="shared" si="148"/>
        <v>4754</v>
      </c>
      <c r="L25" s="27">
        <f t="shared" si="148"/>
        <v>4754</v>
      </c>
      <c r="M25" s="27">
        <f t="shared" si="148"/>
        <v>4754</v>
      </c>
      <c r="N25" s="27">
        <f t="shared" si="148"/>
        <v>4754</v>
      </c>
      <c r="O25" s="27">
        <f t="shared" si="148"/>
        <v>4754</v>
      </c>
      <c r="P25" s="27">
        <f t="shared" si="148"/>
        <v>4754</v>
      </c>
      <c r="Q25" s="27">
        <f t="shared" si="148"/>
        <v>4754</v>
      </c>
      <c r="R25" s="27">
        <f t="shared" si="148"/>
        <v>4754</v>
      </c>
      <c r="S25" s="27">
        <f t="shared" si="148"/>
        <v>4754</v>
      </c>
      <c r="T25" s="19"/>
      <c r="U25" s="27">
        <f>SUM(U26:U29)</f>
        <v>5300</v>
      </c>
      <c r="V25" s="27">
        <f t="shared" ref="V25:AF25" si="149">SUM(V26:V29)</f>
        <v>5300</v>
      </c>
      <c r="W25" s="27">
        <f t="shared" si="149"/>
        <v>5300</v>
      </c>
      <c r="X25" s="27">
        <f t="shared" si="149"/>
        <v>5300</v>
      </c>
      <c r="Y25" s="27">
        <f t="shared" si="149"/>
        <v>5300</v>
      </c>
      <c r="Z25" s="27">
        <f t="shared" si="149"/>
        <v>5300</v>
      </c>
      <c r="AA25" s="27">
        <f t="shared" si="149"/>
        <v>5300</v>
      </c>
      <c r="AB25" s="27">
        <f t="shared" si="149"/>
        <v>5300</v>
      </c>
      <c r="AC25" s="27">
        <f t="shared" si="149"/>
        <v>5300</v>
      </c>
      <c r="AD25" s="27">
        <f t="shared" si="149"/>
        <v>5300</v>
      </c>
      <c r="AE25" s="27">
        <f t="shared" si="149"/>
        <v>5300</v>
      </c>
      <c r="AF25" s="27">
        <f t="shared" si="149"/>
        <v>5300</v>
      </c>
      <c r="AG25" s="5"/>
      <c r="AH25" s="27">
        <f>SUM(AH26:AH29)</f>
        <v>5926.5</v>
      </c>
      <c r="AI25" s="27">
        <f t="shared" ref="AI25:AS25" si="150">SUM(AI26:AI29)</f>
        <v>5926.5</v>
      </c>
      <c r="AJ25" s="27">
        <f t="shared" si="150"/>
        <v>5926.5</v>
      </c>
      <c r="AK25" s="27">
        <f t="shared" si="150"/>
        <v>5926.5</v>
      </c>
      <c r="AL25" s="27">
        <f t="shared" si="150"/>
        <v>5926.5</v>
      </c>
      <c r="AM25" s="27">
        <f t="shared" si="150"/>
        <v>5926.5</v>
      </c>
      <c r="AN25" s="27">
        <f t="shared" si="150"/>
        <v>5926.5</v>
      </c>
      <c r="AO25" s="27">
        <f t="shared" si="150"/>
        <v>5926.5</v>
      </c>
      <c r="AP25" s="27">
        <f t="shared" si="150"/>
        <v>5926.5</v>
      </c>
      <c r="AQ25" s="27">
        <f t="shared" si="150"/>
        <v>5926.5</v>
      </c>
      <c r="AR25" s="27">
        <f t="shared" si="150"/>
        <v>5926.5</v>
      </c>
      <c r="AS25" s="27">
        <f t="shared" si="150"/>
        <v>5926.5</v>
      </c>
      <c r="AU25" s="27">
        <f>SUM(AU26:AU29)</f>
        <v>6375.15</v>
      </c>
      <c r="AV25" s="27">
        <f t="shared" ref="AV25:BF25" si="151">SUM(AV26:AV29)</f>
        <v>6375.15</v>
      </c>
      <c r="AW25" s="27">
        <f t="shared" si="151"/>
        <v>6375.15</v>
      </c>
      <c r="AX25" s="27">
        <f t="shared" si="151"/>
        <v>6375.15</v>
      </c>
      <c r="AY25" s="27">
        <f t="shared" si="151"/>
        <v>6375.15</v>
      </c>
      <c r="AZ25" s="27">
        <f t="shared" si="151"/>
        <v>6375.15</v>
      </c>
      <c r="BA25" s="27">
        <f t="shared" si="151"/>
        <v>6375.15</v>
      </c>
      <c r="BB25" s="27">
        <f t="shared" si="151"/>
        <v>6375.15</v>
      </c>
      <c r="BC25" s="27">
        <f t="shared" si="151"/>
        <v>6375.15</v>
      </c>
      <c r="BD25" s="27">
        <f t="shared" si="151"/>
        <v>6375.15</v>
      </c>
      <c r="BE25" s="27">
        <f t="shared" si="151"/>
        <v>6375.15</v>
      </c>
      <c r="BF25" s="27">
        <f t="shared" si="151"/>
        <v>6375.15</v>
      </c>
      <c r="BH25" s="27">
        <f>SUM(BH26:BH29)</f>
        <v>6831.665</v>
      </c>
      <c r="BI25" s="27">
        <f t="shared" ref="BI25:BS25" si="152">SUM(BI26:BI29)</f>
        <v>6831.665</v>
      </c>
      <c r="BJ25" s="27">
        <f t="shared" si="152"/>
        <v>6831.665</v>
      </c>
      <c r="BK25" s="27">
        <f t="shared" si="152"/>
        <v>6831.665</v>
      </c>
      <c r="BL25" s="27">
        <f t="shared" si="152"/>
        <v>6831.665</v>
      </c>
      <c r="BM25" s="27">
        <f t="shared" si="152"/>
        <v>6831.665</v>
      </c>
      <c r="BN25" s="27">
        <f t="shared" si="152"/>
        <v>6831.665</v>
      </c>
      <c r="BO25" s="27">
        <f t="shared" si="152"/>
        <v>6831.665</v>
      </c>
      <c r="BP25" s="27">
        <f t="shared" si="152"/>
        <v>6831.665</v>
      </c>
      <c r="BQ25" s="27">
        <f t="shared" si="152"/>
        <v>6831.665</v>
      </c>
      <c r="BR25" s="27">
        <f t="shared" si="152"/>
        <v>6831.665</v>
      </c>
      <c r="BS25" s="27">
        <f t="shared" si="152"/>
        <v>6831.665</v>
      </c>
      <c r="BU25" s="27">
        <f>SUM(BU26:BU29)</f>
        <v>7296.8315000000002</v>
      </c>
      <c r="BV25" s="27">
        <f t="shared" ref="BV25:CE25" si="153">SUM(BV26:BV29)</f>
        <v>7296.8315000000002</v>
      </c>
      <c r="BW25" s="27">
        <f t="shared" si="153"/>
        <v>7296.8315000000002</v>
      </c>
      <c r="BX25" s="27">
        <f t="shared" si="153"/>
        <v>7296.8315000000002</v>
      </c>
      <c r="BY25" s="27">
        <f t="shared" si="153"/>
        <v>7296.8315000000002</v>
      </c>
      <c r="BZ25" s="27">
        <f t="shared" si="153"/>
        <v>7296.8315000000002</v>
      </c>
      <c r="CA25" s="27">
        <f t="shared" si="153"/>
        <v>7296.8315000000002</v>
      </c>
      <c r="CB25" s="27">
        <f t="shared" si="153"/>
        <v>7296.8315000000002</v>
      </c>
      <c r="CC25" s="27">
        <f t="shared" si="153"/>
        <v>7296.8315000000002</v>
      </c>
      <c r="CD25" s="27">
        <f t="shared" si="153"/>
        <v>7296.8315000000002</v>
      </c>
      <c r="CE25" s="27">
        <f t="shared" si="153"/>
        <v>7296.8315000000002</v>
      </c>
      <c r="CF25" s="27">
        <f>SUM(CF26:CF29)</f>
        <v>7296.8315000000002</v>
      </c>
      <c r="CH25" s="305">
        <f>SUM(CH26:CH29)</f>
        <v>7401.5146500000001</v>
      </c>
      <c r="CI25" s="305">
        <f t="shared" ref="CI25:CS25" si="154">SUM(CI26:CI29)</f>
        <v>7401.5146500000001</v>
      </c>
      <c r="CJ25" s="305">
        <f t="shared" si="154"/>
        <v>7401.5146500000001</v>
      </c>
      <c r="CK25" s="305">
        <f t="shared" si="154"/>
        <v>7401.5146500000001</v>
      </c>
      <c r="CL25" s="305">
        <f t="shared" si="154"/>
        <v>7401.5146500000001</v>
      </c>
      <c r="CM25" s="305">
        <f t="shared" si="154"/>
        <v>7401.5146500000001</v>
      </c>
      <c r="CN25" s="305">
        <f t="shared" si="154"/>
        <v>7401.5146500000001</v>
      </c>
      <c r="CO25" s="305">
        <f t="shared" si="154"/>
        <v>7401.5146500000001</v>
      </c>
      <c r="CP25" s="305">
        <f t="shared" si="154"/>
        <v>7401.5146500000001</v>
      </c>
      <c r="CQ25" s="305">
        <f t="shared" si="154"/>
        <v>7401.5146500000001</v>
      </c>
      <c r="CR25" s="305">
        <f t="shared" si="154"/>
        <v>7401.5146500000001</v>
      </c>
      <c r="CS25" s="305">
        <f t="shared" si="154"/>
        <v>7401.5146500000001</v>
      </c>
      <c r="CU25" s="323">
        <f>SUM(CU26:CU29)</f>
        <v>7701.666115</v>
      </c>
      <c r="CV25" s="323">
        <f t="shared" ref="CV25:DF25" si="155">SUM(CV26:CV29)</f>
        <v>7701.666115</v>
      </c>
      <c r="CW25" s="323">
        <f t="shared" si="155"/>
        <v>7701.666115</v>
      </c>
      <c r="CX25" s="323">
        <f t="shared" si="155"/>
        <v>7701.666115</v>
      </c>
      <c r="CY25" s="323">
        <f t="shared" si="155"/>
        <v>7701.666115</v>
      </c>
      <c r="CZ25" s="323">
        <f t="shared" si="155"/>
        <v>7701.666115</v>
      </c>
      <c r="DA25" s="323">
        <f t="shared" si="155"/>
        <v>7701.666115</v>
      </c>
      <c r="DB25" s="323">
        <f t="shared" si="155"/>
        <v>7701.666115</v>
      </c>
      <c r="DC25" s="323">
        <f t="shared" si="155"/>
        <v>7701.666115</v>
      </c>
      <c r="DD25" s="323">
        <f t="shared" si="155"/>
        <v>7701.666115</v>
      </c>
      <c r="DE25" s="323">
        <f t="shared" si="155"/>
        <v>7701.666115</v>
      </c>
      <c r="DF25" s="323">
        <f t="shared" si="155"/>
        <v>7701.666115</v>
      </c>
    </row>
    <row r="26" spans="1:110" ht="15" thickBot="1">
      <c r="A26" s="19" t="s">
        <v>23</v>
      </c>
      <c r="B26" s="5" t="s">
        <v>24</v>
      </c>
      <c r="D26" s="26">
        <v>0</v>
      </c>
      <c r="E26" s="26">
        <v>0</v>
      </c>
      <c r="F26" s="26">
        <f>'Água e luz'!H3</f>
        <v>3648</v>
      </c>
      <c r="G26" s="26">
        <f t="shared" ref="G26:S26" si="156">F26</f>
        <v>3648</v>
      </c>
      <c r="H26" s="26">
        <f t="shared" si="156"/>
        <v>3648</v>
      </c>
      <c r="I26" s="26">
        <f t="shared" si="156"/>
        <v>3648</v>
      </c>
      <c r="J26" s="26">
        <f t="shared" si="156"/>
        <v>3648</v>
      </c>
      <c r="K26" s="26">
        <f t="shared" si="156"/>
        <v>3648</v>
      </c>
      <c r="L26" s="26">
        <f t="shared" si="156"/>
        <v>3648</v>
      </c>
      <c r="M26" s="26">
        <f t="shared" si="156"/>
        <v>3648</v>
      </c>
      <c r="N26" s="26">
        <f t="shared" si="156"/>
        <v>3648</v>
      </c>
      <c r="O26" s="26">
        <f t="shared" si="156"/>
        <v>3648</v>
      </c>
      <c r="P26" s="26">
        <f t="shared" si="156"/>
        <v>3648</v>
      </c>
      <c r="Q26" s="26">
        <f t="shared" si="156"/>
        <v>3648</v>
      </c>
      <c r="R26" s="26">
        <f t="shared" si="156"/>
        <v>3648</v>
      </c>
      <c r="S26" s="26">
        <f t="shared" si="156"/>
        <v>3648</v>
      </c>
      <c r="T26" s="19">
        <v>1.1000000000000001</v>
      </c>
      <c r="U26" s="26">
        <f>'Água e luz'!H4</f>
        <v>3960</v>
      </c>
      <c r="V26" s="26">
        <f>U26</f>
        <v>3960</v>
      </c>
      <c r="W26" s="26">
        <f>V26</f>
        <v>3960</v>
      </c>
      <c r="X26" s="26">
        <f t="shared" ref="X26:AF26" si="157">W26</f>
        <v>3960</v>
      </c>
      <c r="Y26" s="26">
        <f t="shared" si="157"/>
        <v>3960</v>
      </c>
      <c r="Z26" s="26">
        <f t="shared" si="157"/>
        <v>3960</v>
      </c>
      <c r="AA26" s="26">
        <f t="shared" si="157"/>
        <v>3960</v>
      </c>
      <c r="AB26" s="26">
        <f t="shared" si="157"/>
        <v>3960</v>
      </c>
      <c r="AC26" s="26">
        <f t="shared" si="157"/>
        <v>3960</v>
      </c>
      <c r="AD26" s="26">
        <f t="shared" si="157"/>
        <v>3960</v>
      </c>
      <c r="AE26" s="26">
        <f t="shared" si="157"/>
        <v>3960</v>
      </c>
      <c r="AF26" s="26">
        <f t="shared" si="157"/>
        <v>3960</v>
      </c>
      <c r="AG26" s="19">
        <v>1.1000000000000001</v>
      </c>
      <c r="AH26" s="26">
        <f>'Água e luz'!H5</f>
        <v>4320</v>
      </c>
      <c r="AI26" s="26">
        <f>AH26</f>
        <v>4320</v>
      </c>
      <c r="AJ26" s="26">
        <f t="shared" ref="AJ26:AS26" si="158">AI26</f>
        <v>4320</v>
      </c>
      <c r="AK26" s="26">
        <f t="shared" si="158"/>
        <v>4320</v>
      </c>
      <c r="AL26" s="26">
        <f t="shared" si="158"/>
        <v>4320</v>
      </c>
      <c r="AM26" s="26">
        <f t="shared" si="158"/>
        <v>4320</v>
      </c>
      <c r="AN26" s="26">
        <f t="shared" si="158"/>
        <v>4320</v>
      </c>
      <c r="AO26" s="26">
        <f t="shared" si="158"/>
        <v>4320</v>
      </c>
      <c r="AP26" s="26">
        <f t="shared" si="158"/>
        <v>4320</v>
      </c>
      <c r="AQ26" s="26">
        <f t="shared" si="158"/>
        <v>4320</v>
      </c>
      <c r="AR26" s="26">
        <f t="shared" si="158"/>
        <v>4320</v>
      </c>
      <c r="AS26" s="26">
        <f t="shared" si="158"/>
        <v>4320</v>
      </c>
      <c r="AT26" s="19">
        <v>1.1000000000000001</v>
      </c>
      <c r="AU26" s="26">
        <f>'Água e luz'!H6</f>
        <v>4560</v>
      </c>
      <c r="AV26" s="26">
        <f>AU26</f>
        <v>4560</v>
      </c>
      <c r="AW26" s="26">
        <f t="shared" ref="AW26:BE26" si="159">AV26</f>
        <v>4560</v>
      </c>
      <c r="AX26" s="26">
        <f t="shared" si="159"/>
        <v>4560</v>
      </c>
      <c r="AY26" s="26">
        <f t="shared" si="159"/>
        <v>4560</v>
      </c>
      <c r="AZ26" s="26">
        <f t="shared" si="159"/>
        <v>4560</v>
      </c>
      <c r="BA26" s="26">
        <f t="shared" si="159"/>
        <v>4560</v>
      </c>
      <c r="BB26" s="26">
        <f t="shared" si="159"/>
        <v>4560</v>
      </c>
      <c r="BC26" s="26">
        <f t="shared" si="159"/>
        <v>4560</v>
      </c>
      <c r="BD26" s="26">
        <f t="shared" si="159"/>
        <v>4560</v>
      </c>
      <c r="BE26" s="26">
        <f t="shared" si="159"/>
        <v>4560</v>
      </c>
      <c r="BF26" s="26">
        <f>BE26</f>
        <v>4560</v>
      </c>
      <c r="BG26" s="19">
        <v>1.1000000000000001</v>
      </c>
      <c r="BH26" s="26">
        <f>'Água e luz'!H7</f>
        <v>4800</v>
      </c>
      <c r="BI26" s="26">
        <f>BH26</f>
        <v>4800</v>
      </c>
      <c r="BJ26" s="26">
        <f t="shared" ref="BJ26:BS26" si="160">BI26</f>
        <v>4800</v>
      </c>
      <c r="BK26" s="26">
        <f t="shared" si="160"/>
        <v>4800</v>
      </c>
      <c r="BL26" s="26">
        <f t="shared" si="160"/>
        <v>4800</v>
      </c>
      <c r="BM26" s="26">
        <f t="shared" si="160"/>
        <v>4800</v>
      </c>
      <c r="BN26" s="26">
        <f t="shared" si="160"/>
        <v>4800</v>
      </c>
      <c r="BO26" s="26">
        <f t="shared" si="160"/>
        <v>4800</v>
      </c>
      <c r="BP26" s="26">
        <f t="shared" si="160"/>
        <v>4800</v>
      </c>
      <c r="BQ26" s="26">
        <f t="shared" si="160"/>
        <v>4800</v>
      </c>
      <c r="BR26" s="26">
        <f t="shared" si="160"/>
        <v>4800</v>
      </c>
      <c r="BS26" s="26">
        <f t="shared" si="160"/>
        <v>4800</v>
      </c>
      <c r="BT26" s="19">
        <v>1.1000000000000001</v>
      </c>
      <c r="BU26" s="26">
        <f>'Água e luz'!H8</f>
        <v>5040</v>
      </c>
      <c r="BV26" s="26">
        <f>BU26</f>
        <v>5040</v>
      </c>
      <c r="BW26" s="26">
        <f t="shared" ref="BW26:CE26" si="161">BV26</f>
        <v>5040</v>
      </c>
      <c r="BX26" s="26">
        <f t="shared" si="161"/>
        <v>5040</v>
      </c>
      <c r="BY26" s="26">
        <f t="shared" si="161"/>
        <v>5040</v>
      </c>
      <c r="BZ26" s="26">
        <f t="shared" si="161"/>
        <v>5040</v>
      </c>
      <c r="CA26" s="26">
        <f t="shared" si="161"/>
        <v>5040</v>
      </c>
      <c r="CB26" s="26">
        <f t="shared" si="161"/>
        <v>5040</v>
      </c>
      <c r="CC26" s="26">
        <f t="shared" si="161"/>
        <v>5040</v>
      </c>
      <c r="CD26" s="26">
        <f t="shared" si="161"/>
        <v>5040</v>
      </c>
      <c r="CE26" s="26">
        <f t="shared" si="161"/>
        <v>5040</v>
      </c>
      <c r="CF26" s="26">
        <f>CE26</f>
        <v>5040</v>
      </c>
      <c r="CG26" s="311">
        <v>1.1000000000000001</v>
      </c>
      <c r="CH26" s="309">
        <f>'Água e luz'!H8</f>
        <v>5040</v>
      </c>
      <c r="CI26" s="309">
        <f t="shared" ref="CI26:CS26" si="162">CH26</f>
        <v>5040</v>
      </c>
      <c r="CJ26" s="309">
        <f t="shared" si="162"/>
        <v>5040</v>
      </c>
      <c r="CK26" s="309">
        <f t="shared" si="162"/>
        <v>5040</v>
      </c>
      <c r="CL26" s="309">
        <f t="shared" si="162"/>
        <v>5040</v>
      </c>
      <c r="CM26" s="309">
        <f t="shared" si="162"/>
        <v>5040</v>
      </c>
      <c r="CN26" s="309">
        <f t="shared" si="162"/>
        <v>5040</v>
      </c>
      <c r="CO26" s="309">
        <f t="shared" si="162"/>
        <v>5040</v>
      </c>
      <c r="CP26" s="309">
        <f t="shared" si="162"/>
        <v>5040</v>
      </c>
      <c r="CQ26" s="309">
        <f t="shared" si="162"/>
        <v>5040</v>
      </c>
      <c r="CR26" s="309">
        <f t="shared" si="162"/>
        <v>5040</v>
      </c>
      <c r="CS26" s="309">
        <f t="shared" si="162"/>
        <v>5040</v>
      </c>
      <c r="CT26" s="311">
        <v>1.1000000000000001</v>
      </c>
      <c r="CU26" s="309">
        <f>'Água e luz'!H9</f>
        <v>5160</v>
      </c>
      <c r="CV26" s="309">
        <f t="shared" ref="CV26:DF26" si="163">CU26</f>
        <v>5160</v>
      </c>
      <c r="CW26" s="309">
        <f t="shared" si="163"/>
        <v>5160</v>
      </c>
      <c r="CX26" s="309">
        <f t="shared" si="163"/>
        <v>5160</v>
      </c>
      <c r="CY26" s="309">
        <f t="shared" si="163"/>
        <v>5160</v>
      </c>
      <c r="CZ26" s="309">
        <f t="shared" si="163"/>
        <v>5160</v>
      </c>
      <c r="DA26" s="309">
        <f t="shared" si="163"/>
        <v>5160</v>
      </c>
      <c r="DB26" s="309">
        <f t="shared" si="163"/>
        <v>5160</v>
      </c>
      <c r="DC26" s="309">
        <f t="shared" si="163"/>
        <v>5160</v>
      </c>
      <c r="DD26" s="309">
        <f t="shared" si="163"/>
        <v>5160</v>
      </c>
      <c r="DE26" s="309">
        <f t="shared" si="163"/>
        <v>5160</v>
      </c>
      <c r="DF26" s="309">
        <f t="shared" si="163"/>
        <v>5160</v>
      </c>
    </row>
    <row r="27" spans="1:110" ht="15" thickBot="1">
      <c r="A27" s="19" t="s">
        <v>25</v>
      </c>
      <c r="B27" s="5" t="s">
        <v>26</v>
      </c>
      <c r="D27" s="26">
        <v>0</v>
      </c>
      <c r="E27" s="26">
        <v>0</v>
      </c>
      <c r="F27" s="26">
        <f>'Água e luz'!I3</f>
        <v>456</v>
      </c>
      <c r="G27" s="26">
        <f t="shared" ref="G27:S27" si="164">F27</f>
        <v>456</v>
      </c>
      <c r="H27" s="26">
        <f t="shared" si="164"/>
        <v>456</v>
      </c>
      <c r="I27" s="26">
        <f t="shared" si="164"/>
        <v>456</v>
      </c>
      <c r="J27" s="26">
        <f t="shared" si="164"/>
        <v>456</v>
      </c>
      <c r="K27" s="26">
        <f t="shared" si="164"/>
        <v>456</v>
      </c>
      <c r="L27" s="26">
        <f t="shared" si="164"/>
        <v>456</v>
      </c>
      <c r="M27" s="26">
        <f t="shared" si="164"/>
        <v>456</v>
      </c>
      <c r="N27" s="26">
        <f t="shared" si="164"/>
        <v>456</v>
      </c>
      <c r="O27" s="26">
        <f t="shared" si="164"/>
        <v>456</v>
      </c>
      <c r="P27" s="26">
        <f t="shared" si="164"/>
        <v>456</v>
      </c>
      <c r="Q27" s="26">
        <f t="shared" si="164"/>
        <v>456</v>
      </c>
      <c r="R27" s="26">
        <f t="shared" si="164"/>
        <v>456</v>
      </c>
      <c r="S27" s="26">
        <f t="shared" si="164"/>
        <v>456</v>
      </c>
      <c r="T27" s="19">
        <v>1.1000000000000001</v>
      </c>
      <c r="U27" s="26">
        <f>'Água e luz'!I4</f>
        <v>625</v>
      </c>
      <c r="V27" s="26">
        <f t="shared" ref="V27:W27" si="165">U27</f>
        <v>625</v>
      </c>
      <c r="W27" s="26">
        <f t="shared" si="165"/>
        <v>625</v>
      </c>
      <c r="X27" s="26">
        <f t="shared" ref="X27:AF27" si="166">W27</f>
        <v>625</v>
      </c>
      <c r="Y27" s="26">
        <f t="shared" si="166"/>
        <v>625</v>
      </c>
      <c r="Z27" s="26">
        <f t="shared" si="166"/>
        <v>625</v>
      </c>
      <c r="AA27" s="26">
        <f t="shared" si="166"/>
        <v>625</v>
      </c>
      <c r="AB27" s="26">
        <f t="shared" si="166"/>
        <v>625</v>
      </c>
      <c r="AC27" s="26">
        <f t="shared" si="166"/>
        <v>625</v>
      </c>
      <c r="AD27" s="26">
        <f t="shared" si="166"/>
        <v>625</v>
      </c>
      <c r="AE27" s="26">
        <f t="shared" si="166"/>
        <v>625</v>
      </c>
      <c r="AF27" s="26">
        <f t="shared" si="166"/>
        <v>625</v>
      </c>
      <c r="AG27" s="19">
        <v>1.1000000000000001</v>
      </c>
      <c r="AH27" s="26">
        <f>'Água e luz'!I5</f>
        <v>820</v>
      </c>
      <c r="AI27" s="26">
        <f t="shared" ref="AI27:AS29" si="167">AH27</f>
        <v>820</v>
      </c>
      <c r="AJ27" s="26">
        <f t="shared" si="167"/>
        <v>820</v>
      </c>
      <c r="AK27" s="26">
        <f t="shared" si="167"/>
        <v>820</v>
      </c>
      <c r="AL27" s="26">
        <f t="shared" si="167"/>
        <v>820</v>
      </c>
      <c r="AM27" s="26">
        <f t="shared" si="167"/>
        <v>820</v>
      </c>
      <c r="AN27" s="26">
        <f t="shared" si="167"/>
        <v>820</v>
      </c>
      <c r="AO27" s="26">
        <f t="shared" si="167"/>
        <v>820</v>
      </c>
      <c r="AP27" s="26">
        <f t="shared" si="167"/>
        <v>820</v>
      </c>
      <c r="AQ27" s="26">
        <f t="shared" si="167"/>
        <v>820</v>
      </c>
      <c r="AR27" s="26">
        <f t="shared" si="167"/>
        <v>820</v>
      </c>
      <c r="AS27" s="26">
        <f t="shared" si="167"/>
        <v>820</v>
      </c>
      <c r="AT27" s="19">
        <v>1.1000000000000001</v>
      </c>
      <c r="AU27" s="26">
        <f>'Água e luz'!I6</f>
        <v>950</v>
      </c>
      <c r="AV27" s="26">
        <f t="shared" ref="AV27:BE27" si="168">AU27</f>
        <v>950</v>
      </c>
      <c r="AW27" s="26">
        <f t="shared" si="168"/>
        <v>950</v>
      </c>
      <c r="AX27" s="26">
        <f t="shared" si="168"/>
        <v>950</v>
      </c>
      <c r="AY27" s="26">
        <f t="shared" si="168"/>
        <v>950</v>
      </c>
      <c r="AZ27" s="26">
        <f t="shared" si="168"/>
        <v>950</v>
      </c>
      <c r="BA27" s="26">
        <f t="shared" si="168"/>
        <v>950</v>
      </c>
      <c r="BB27" s="26">
        <f t="shared" si="168"/>
        <v>950</v>
      </c>
      <c r="BC27" s="26">
        <f t="shared" si="168"/>
        <v>950</v>
      </c>
      <c r="BD27" s="26">
        <f t="shared" si="168"/>
        <v>950</v>
      </c>
      <c r="BE27" s="26">
        <f t="shared" si="168"/>
        <v>950</v>
      </c>
      <c r="BF27" s="26">
        <f>BE27</f>
        <v>950</v>
      </c>
      <c r="BG27" s="19">
        <v>1.1000000000000001</v>
      </c>
      <c r="BH27" s="26">
        <f>'Água e luz'!I7</f>
        <v>1080</v>
      </c>
      <c r="BI27" s="26">
        <f>BH27</f>
        <v>1080</v>
      </c>
      <c r="BJ27" s="26">
        <f>BI27</f>
        <v>1080</v>
      </c>
      <c r="BK27" s="26">
        <f t="shared" ref="BK27:BS27" si="169">BJ27</f>
        <v>1080</v>
      </c>
      <c r="BL27" s="26">
        <f t="shared" si="169"/>
        <v>1080</v>
      </c>
      <c r="BM27" s="26">
        <f t="shared" si="169"/>
        <v>1080</v>
      </c>
      <c r="BN27" s="26">
        <f t="shared" si="169"/>
        <v>1080</v>
      </c>
      <c r="BO27" s="26">
        <f t="shared" si="169"/>
        <v>1080</v>
      </c>
      <c r="BP27" s="26">
        <f t="shared" si="169"/>
        <v>1080</v>
      </c>
      <c r="BQ27" s="26">
        <f t="shared" si="169"/>
        <v>1080</v>
      </c>
      <c r="BR27" s="26">
        <f t="shared" si="169"/>
        <v>1080</v>
      </c>
      <c r="BS27" s="26">
        <f t="shared" si="169"/>
        <v>1080</v>
      </c>
      <c r="BT27" s="19">
        <v>1.1000000000000001</v>
      </c>
      <c r="BU27" s="26">
        <f>'Água e luz'!I8</f>
        <v>1210</v>
      </c>
      <c r="BV27" s="26">
        <f t="shared" ref="BV27:CF27" si="170">BU27</f>
        <v>1210</v>
      </c>
      <c r="BW27" s="26">
        <f t="shared" si="170"/>
        <v>1210</v>
      </c>
      <c r="BX27" s="26">
        <f t="shared" si="170"/>
        <v>1210</v>
      </c>
      <c r="BY27" s="26">
        <f t="shared" si="170"/>
        <v>1210</v>
      </c>
      <c r="BZ27" s="26">
        <f t="shared" si="170"/>
        <v>1210</v>
      </c>
      <c r="CA27" s="26">
        <f t="shared" si="170"/>
        <v>1210</v>
      </c>
      <c r="CB27" s="26">
        <f t="shared" si="170"/>
        <v>1210</v>
      </c>
      <c r="CC27" s="26">
        <f t="shared" si="170"/>
        <v>1210</v>
      </c>
      <c r="CD27" s="26">
        <f t="shared" si="170"/>
        <v>1210</v>
      </c>
      <c r="CE27" s="26">
        <f t="shared" si="170"/>
        <v>1210</v>
      </c>
      <c r="CF27" s="26">
        <f t="shared" si="170"/>
        <v>1210</v>
      </c>
      <c r="CG27" s="311">
        <v>1.1000000000000001</v>
      </c>
      <c r="CH27" s="309">
        <f>'Água e luz'!I8</f>
        <v>1210</v>
      </c>
      <c r="CI27" s="309">
        <f t="shared" ref="CI27:CS27" si="171">CH27</f>
        <v>1210</v>
      </c>
      <c r="CJ27" s="309">
        <f t="shared" si="171"/>
        <v>1210</v>
      </c>
      <c r="CK27" s="309">
        <f t="shared" si="171"/>
        <v>1210</v>
      </c>
      <c r="CL27" s="309">
        <f t="shared" si="171"/>
        <v>1210</v>
      </c>
      <c r="CM27" s="309">
        <f t="shared" si="171"/>
        <v>1210</v>
      </c>
      <c r="CN27" s="309">
        <f t="shared" si="171"/>
        <v>1210</v>
      </c>
      <c r="CO27" s="309">
        <f t="shared" si="171"/>
        <v>1210</v>
      </c>
      <c r="CP27" s="309">
        <f t="shared" si="171"/>
        <v>1210</v>
      </c>
      <c r="CQ27" s="309">
        <f t="shared" si="171"/>
        <v>1210</v>
      </c>
      <c r="CR27" s="309">
        <f t="shared" si="171"/>
        <v>1210</v>
      </c>
      <c r="CS27" s="309">
        <f t="shared" si="171"/>
        <v>1210</v>
      </c>
      <c r="CT27" s="311">
        <v>1.1000000000000001</v>
      </c>
      <c r="CU27" s="309">
        <f>'Água e luz'!I9</f>
        <v>1275</v>
      </c>
      <c r="CV27" s="309">
        <f t="shared" ref="CV27:DF27" si="172">CU27</f>
        <v>1275</v>
      </c>
      <c r="CW27" s="309">
        <f t="shared" si="172"/>
        <v>1275</v>
      </c>
      <c r="CX27" s="309">
        <f t="shared" si="172"/>
        <v>1275</v>
      </c>
      <c r="CY27" s="309">
        <f t="shared" si="172"/>
        <v>1275</v>
      </c>
      <c r="CZ27" s="309">
        <f t="shared" si="172"/>
        <v>1275</v>
      </c>
      <c r="DA27" s="309">
        <f t="shared" si="172"/>
        <v>1275</v>
      </c>
      <c r="DB27" s="309">
        <f t="shared" si="172"/>
        <v>1275</v>
      </c>
      <c r="DC27" s="309">
        <f t="shared" si="172"/>
        <v>1275</v>
      </c>
      <c r="DD27" s="309">
        <f t="shared" si="172"/>
        <v>1275</v>
      </c>
      <c r="DE27" s="309">
        <f t="shared" si="172"/>
        <v>1275</v>
      </c>
      <c r="DF27" s="309">
        <f t="shared" si="172"/>
        <v>1275</v>
      </c>
    </row>
    <row r="28" spans="1:110" ht="15" thickBot="1">
      <c r="A28" s="19" t="s">
        <v>27</v>
      </c>
      <c r="B28" s="5" t="s">
        <v>152</v>
      </c>
      <c r="D28" s="26">
        <v>0</v>
      </c>
      <c r="E28" s="26">
        <v>0</v>
      </c>
      <c r="F28" s="26">
        <v>500</v>
      </c>
      <c r="G28" s="26">
        <v>500</v>
      </c>
      <c r="H28" s="26">
        <v>500</v>
      </c>
      <c r="I28" s="26">
        <v>500</v>
      </c>
      <c r="J28" s="26">
        <v>500</v>
      </c>
      <c r="K28" s="26">
        <v>500</v>
      </c>
      <c r="L28" s="26">
        <v>500</v>
      </c>
      <c r="M28" s="26">
        <v>500</v>
      </c>
      <c r="N28" s="26">
        <v>500</v>
      </c>
      <c r="O28" s="26">
        <v>500</v>
      </c>
      <c r="P28" s="26">
        <v>500</v>
      </c>
      <c r="Q28" s="26">
        <v>500</v>
      </c>
      <c r="R28" s="26">
        <v>500</v>
      </c>
      <c r="S28" s="26">
        <v>500</v>
      </c>
      <c r="T28" s="19">
        <v>1.1000000000000001</v>
      </c>
      <c r="U28" s="26">
        <f t="shared" ref="U28:U29" si="173">S28*T28</f>
        <v>550</v>
      </c>
      <c r="V28" s="26">
        <f t="shared" ref="V28:W28" si="174">U28</f>
        <v>550</v>
      </c>
      <c r="W28" s="26">
        <f t="shared" si="174"/>
        <v>550</v>
      </c>
      <c r="X28" s="26">
        <f t="shared" ref="X28:AF28" si="175">W28</f>
        <v>550</v>
      </c>
      <c r="Y28" s="26">
        <f t="shared" si="175"/>
        <v>550</v>
      </c>
      <c r="Z28" s="26">
        <f t="shared" si="175"/>
        <v>550</v>
      </c>
      <c r="AA28" s="26">
        <f t="shared" si="175"/>
        <v>550</v>
      </c>
      <c r="AB28" s="26">
        <f t="shared" si="175"/>
        <v>550</v>
      </c>
      <c r="AC28" s="26">
        <f t="shared" si="175"/>
        <v>550</v>
      </c>
      <c r="AD28" s="26">
        <f t="shared" si="175"/>
        <v>550</v>
      </c>
      <c r="AE28" s="26">
        <f t="shared" si="175"/>
        <v>550</v>
      </c>
      <c r="AF28" s="26">
        <f t="shared" si="175"/>
        <v>550</v>
      </c>
      <c r="AG28" s="19">
        <v>1.1000000000000001</v>
      </c>
      <c r="AH28" s="26">
        <f t="shared" ref="AH28:AH29" si="176">AF28*AG28</f>
        <v>605</v>
      </c>
      <c r="AI28" s="26">
        <f t="shared" si="167"/>
        <v>605</v>
      </c>
      <c r="AJ28" s="26">
        <f t="shared" si="167"/>
        <v>605</v>
      </c>
      <c r="AK28" s="26">
        <f t="shared" si="167"/>
        <v>605</v>
      </c>
      <c r="AL28" s="26">
        <f t="shared" si="167"/>
        <v>605</v>
      </c>
      <c r="AM28" s="26">
        <f t="shared" si="167"/>
        <v>605</v>
      </c>
      <c r="AN28" s="26">
        <f t="shared" si="167"/>
        <v>605</v>
      </c>
      <c r="AO28" s="26">
        <f t="shared" si="167"/>
        <v>605</v>
      </c>
      <c r="AP28" s="26">
        <f t="shared" si="167"/>
        <v>605</v>
      </c>
      <c r="AQ28" s="26">
        <f t="shared" si="167"/>
        <v>605</v>
      </c>
      <c r="AR28" s="26">
        <f t="shared" si="167"/>
        <v>605</v>
      </c>
      <c r="AS28" s="26">
        <f t="shared" si="167"/>
        <v>605</v>
      </c>
      <c r="AT28" s="19">
        <v>1.1000000000000001</v>
      </c>
      <c r="AU28" s="26">
        <f t="shared" ref="AU28:AU29" si="177">AS28*AT28</f>
        <v>665.5</v>
      </c>
      <c r="AV28" s="26">
        <f t="shared" ref="AV28:BF28" si="178">AU28</f>
        <v>665.5</v>
      </c>
      <c r="AW28" s="26">
        <f t="shared" si="178"/>
        <v>665.5</v>
      </c>
      <c r="AX28" s="26">
        <f t="shared" si="178"/>
        <v>665.5</v>
      </c>
      <c r="AY28" s="26">
        <f t="shared" si="178"/>
        <v>665.5</v>
      </c>
      <c r="AZ28" s="26">
        <f t="shared" si="178"/>
        <v>665.5</v>
      </c>
      <c r="BA28" s="26">
        <f t="shared" si="178"/>
        <v>665.5</v>
      </c>
      <c r="BB28" s="26">
        <f t="shared" si="178"/>
        <v>665.5</v>
      </c>
      <c r="BC28" s="26">
        <f t="shared" si="178"/>
        <v>665.5</v>
      </c>
      <c r="BD28" s="26">
        <f t="shared" si="178"/>
        <v>665.5</v>
      </c>
      <c r="BE28" s="26">
        <f t="shared" si="178"/>
        <v>665.5</v>
      </c>
      <c r="BF28" s="26">
        <f t="shared" si="178"/>
        <v>665.5</v>
      </c>
      <c r="BG28" s="19">
        <v>1.1000000000000001</v>
      </c>
      <c r="BH28" s="26">
        <f>BF28*BG28</f>
        <v>732.05000000000007</v>
      </c>
      <c r="BI28" s="26">
        <f>BH28</f>
        <v>732.05000000000007</v>
      </c>
      <c r="BJ28" s="26">
        <f t="shared" ref="BJ28:BS28" si="179">BI28</f>
        <v>732.05000000000007</v>
      </c>
      <c r="BK28" s="26">
        <f t="shared" si="179"/>
        <v>732.05000000000007</v>
      </c>
      <c r="BL28" s="26">
        <f t="shared" si="179"/>
        <v>732.05000000000007</v>
      </c>
      <c r="BM28" s="26">
        <f t="shared" si="179"/>
        <v>732.05000000000007</v>
      </c>
      <c r="BN28" s="26">
        <f t="shared" si="179"/>
        <v>732.05000000000007</v>
      </c>
      <c r="BO28" s="26">
        <f t="shared" si="179"/>
        <v>732.05000000000007</v>
      </c>
      <c r="BP28" s="26">
        <f t="shared" si="179"/>
        <v>732.05000000000007</v>
      </c>
      <c r="BQ28" s="26">
        <f t="shared" si="179"/>
        <v>732.05000000000007</v>
      </c>
      <c r="BR28" s="26">
        <f t="shared" si="179"/>
        <v>732.05000000000007</v>
      </c>
      <c r="BS28" s="26">
        <f t="shared" si="179"/>
        <v>732.05000000000007</v>
      </c>
      <c r="BT28" s="19">
        <v>1.1000000000000001</v>
      </c>
      <c r="BU28" s="26">
        <f>BS28*BT28</f>
        <v>805.25500000000011</v>
      </c>
      <c r="BV28" s="26">
        <f t="shared" ref="BV28:CE28" si="180">BU28</f>
        <v>805.25500000000011</v>
      </c>
      <c r="BW28" s="26">
        <f t="shared" si="180"/>
        <v>805.25500000000011</v>
      </c>
      <c r="BX28" s="26">
        <f t="shared" si="180"/>
        <v>805.25500000000011</v>
      </c>
      <c r="BY28" s="26">
        <f t="shared" si="180"/>
        <v>805.25500000000011</v>
      </c>
      <c r="BZ28" s="26">
        <f t="shared" si="180"/>
        <v>805.25500000000011</v>
      </c>
      <c r="CA28" s="26">
        <f t="shared" si="180"/>
        <v>805.25500000000011</v>
      </c>
      <c r="CB28" s="26">
        <f t="shared" si="180"/>
        <v>805.25500000000011</v>
      </c>
      <c r="CC28" s="26">
        <f t="shared" si="180"/>
        <v>805.25500000000011</v>
      </c>
      <c r="CD28" s="26">
        <f t="shared" si="180"/>
        <v>805.25500000000011</v>
      </c>
      <c r="CE28" s="26">
        <f t="shared" si="180"/>
        <v>805.25500000000011</v>
      </c>
      <c r="CF28" s="26">
        <f>CE28</f>
        <v>805.25500000000011</v>
      </c>
      <c r="CG28" s="311">
        <v>1.1000000000000001</v>
      </c>
      <c r="CH28" s="302">
        <f>CF28*CG28</f>
        <v>885.78050000000019</v>
      </c>
      <c r="CI28" s="302">
        <f t="shared" ref="CI28:CS28" si="181">CH28</f>
        <v>885.78050000000019</v>
      </c>
      <c r="CJ28" s="302">
        <f t="shared" si="181"/>
        <v>885.78050000000019</v>
      </c>
      <c r="CK28" s="302">
        <f t="shared" si="181"/>
        <v>885.78050000000019</v>
      </c>
      <c r="CL28" s="302">
        <f t="shared" si="181"/>
        <v>885.78050000000019</v>
      </c>
      <c r="CM28" s="302">
        <f t="shared" si="181"/>
        <v>885.78050000000019</v>
      </c>
      <c r="CN28" s="302">
        <f t="shared" si="181"/>
        <v>885.78050000000019</v>
      </c>
      <c r="CO28" s="302">
        <f t="shared" si="181"/>
        <v>885.78050000000019</v>
      </c>
      <c r="CP28" s="302">
        <f t="shared" si="181"/>
        <v>885.78050000000019</v>
      </c>
      <c r="CQ28" s="302">
        <f t="shared" si="181"/>
        <v>885.78050000000019</v>
      </c>
      <c r="CR28" s="302">
        <f t="shared" si="181"/>
        <v>885.78050000000019</v>
      </c>
      <c r="CS28" s="302">
        <f t="shared" si="181"/>
        <v>885.78050000000019</v>
      </c>
      <c r="CT28" s="311">
        <v>1.1000000000000001</v>
      </c>
      <c r="CU28" s="302">
        <f>CS28*CT28</f>
        <v>974.35855000000026</v>
      </c>
      <c r="CV28" s="302">
        <f t="shared" ref="CV28:DF28" si="182">CU28</f>
        <v>974.35855000000026</v>
      </c>
      <c r="CW28" s="302">
        <f t="shared" si="182"/>
        <v>974.35855000000026</v>
      </c>
      <c r="CX28" s="302">
        <f t="shared" si="182"/>
        <v>974.35855000000026</v>
      </c>
      <c r="CY28" s="302">
        <f t="shared" si="182"/>
        <v>974.35855000000026</v>
      </c>
      <c r="CZ28" s="302">
        <f t="shared" si="182"/>
        <v>974.35855000000026</v>
      </c>
      <c r="DA28" s="302">
        <f t="shared" si="182"/>
        <v>974.35855000000026</v>
      </c>
      <c r="DB28" s="302">
        <f t="shared" si="182"/>
        <v>974.35855000000026</v>
      </c>
      <c r="DC28" s="302">
        <f t="shared" si="182"/>
        <v>974.35855000000026</v>
      </c>
      <c r="DD28" s="302">
        <f t="shared" si="182"/>
        <v>974.35855000000026</v>
      </c>
      <c r="DE28" s="302">
        <f t="shared" si="182"/>
        <v>974.35855000000026</v>
      </c>
      <c r="DF28" s="302">
        <f t="shared" si="182"/>
        <v>974.35855000000026</v>
      </c>
    </row>
    <row r="29" spans="1:110" ht="15" thickBot="1">
      <c r="A29" s="19" t="s">
        <v>28</v>
      </c>
      <c r="B29" s="5" t="s">
        <v>29</v>
      </c>
      <c r="D29" s="26">
        <v>0</v>
      </c>
      <c r="E29" s="26">
        <v>0</v>
      </c>
      <c r="F29" s="26">
        <v>150</v>
      </c>
      <c r="G29" s="26">
        <v>150</v>
      </c>
      <c r="H29" s="26">
        <v>150</v>
      </c>
      <c r="I29" s="26">
        <v>150</v>
      </c>
      <c r="J29" s="26">
        <v>150</v>
      </c>
      <c r="K29" s="26">
        <v>150</v>
      </c>
      <c r="L29" s="26">
        <v>150</v>
      </c>
      <c r="M29" s="26">
        <v>150</v>
      </c>
      <c r="N29" s="26">
        <v>150</v>
      </c>
      <c r="O29" s="26">
        <v>150</v>
      </c>
      <c r="P29" s="26">
        <v>150</v>
      </c>
      <c r="Q29" s="26">
        <v>150</v>
      </c>
      <c r="R29" s="26">
        <v>150</v>
      </c>
      <c r="S29" s="26">
        <v>150</v>
      </c>
      <c r="T29" s="19">
        <v>1.1000000000000001</v>
      </c>
      <c r="U29" s="26">
        <f t="shared" si="173"/>
        <v>165</v>
      </c>
      <c r="V29" s="26">
        <f t="shared" ref="V29:W29" si="183">U29</f>
        <v>165</v>
      </c>
      <c r="W29" s="26">
        <f t="shared" si="183"/>
        <v>165</v>
      </c>
      <c r="X29" s="26">
        <f t="shared" ref="X29:AF29" si="184">W29</f>
        <v>165</v>
      </c>
      <c r="Y29" s="26">
        <f t="shared" si="184"/>
        <v>165</v>
      </c>
      <c r="Z29" s="26">
        <f t="shared" si="184"/>
        <v>165</v>
      </c>
      <c r="AA29" s="26">
        <f t="shared" si="184"/>
        <v>165</v>
      </c>
      <c r="AB29" s="26">
        <f t="shared" si="184"/>
        <v>165</v>
      </c>
      <c r="AC29" s="26">
        <f t="shared" si="184"/>
        <v>165</v>
      </c>
      <c r="AD29" s="26">
        <f t="shared" si="184"/>
        <v>165</v>
      </c>
      <c r="AE29" s="26">
        <f t="shared" si="184"/>
        <v>165</v>
      </c>
      <c r="AF29" s="26">
        <f t="shared" si="184"/>
        <v>165</v>
      </c>
      <c r="AG29" s="19">
        <v>1.1000000000000001</v>
      </c>
      <c r="AH29" s="26">
        <f t="shared" si="176"/>
        <v>181.50000000000003</v>
      </c>
      <c r="AI29" s="26">
        <f t="shared" si="167"/>
        <v>181.50000000000003</v>
      </c>
      <c r="AJ29" s="26">
        <f t="shared" si="167"/>
        <v>181.50000000000003</v>
      </c>
      <c r="AK29" s="26">
        <f t="shared" si="167"/>
        <v>181.50000000000003</v>
      </c>
      <c r="AL29" s="26">
        <f t="shared" si="167"/>
        <v>181.50000000000003</v>
      </c>
      <c r="AM29" s="26">
        <f t="shared" si="167"/>
        <v>181.50000000000003</v>
      </c>
      <c r="AN29" s="26">
        <f t="shared" si="167"/>
        <v>181.50000000000003</v>
      </c>
      <c r="AO29" s="26">
        <f t="shared" si="167"/>
        <v>181.50000000000003</v>
      </c>
      <c r="AP29" s="26">
        <f t="shared" si="167"/>
        <v>181.50000000000003</v>
      </c>
      <c r="AQ29" s="26">
        <f t="shared" si="167"/>
        <v>181.50000000000003</v>
      </c>
      <c r="AR29" s="26">
        <f t="shared" si="167"/>
        <v>181.50000000000003</v>
      </c>
      <c r="AS29" s="26">
        <f t="shared" si="167"/>
        <v>181.50000000000003</v>
      </c>
      <c r="AT29" s="19">
        <v>1.1000000000000001</v>
      </c>
      <c r="AU29" s="26">
        <f t="shared" si="177"/>
        <v>199.65000000000003</v>
      </c>
      <c r="AV29" s="26">
        <f t="shared" ref="AV29:BF29" si="185">AU29</f>
        <v>199.65000000000003</v>
      </c>
      <c r="AW29" s="26">
        <f t="shared" si="185"/>
        <v>199.65000000000003</v>
      </c>
      <c r="AX29" s="26">
        <f t="shared" si="185"/>
        <v>199.65000000000003</v>
      </c>
      <c r="AY29" s="26">
        <f t="shared" si="185"/>
        <v>199.65000000000003</v>
      </c>
      <c r="AZ29" s="26">
        <f t="shared" si="185"/>
        <v>199.65000000000003</v>
      </c>
      <c r="BA29" s="26">
        <f t="shared" si="185"/>
        <v>199.65000000000003</v>
      </c>
      <c r="BB29" s="26">
        <f t="shared" si="185"/>
        <v>199.65000000000003</v>
      </c>
      <c r="BC29" s="26">
        <f t="shared" si="185"/>
        <v>199.65000000000003</v>
      </c>
      <c r="BD29" s="26">
        <f t="shared" si="185"/>
        <v>199.65000000000003</v>
      </c>
      <c r="BE29" s="26">
        <f t="shared" si="185"/>
        <v>199.65000000000003</v>
      </c>
      <c r="BF29" s="26">
        <f t="shared" si="185"/>
        <v>199.65000000000003</v>
      </c>
      <c r="BG29" s="19">
        <v>1.1000000000000001</v>
      </c>
      <c r="BH29" s="26">
        <f t="shared" ref="BH29" si="186">BF29*BG29</f>
        <v>219.61500000000007</v>
      </c>
      <c r="BI29" s="26">
        <f t="shared" ref="BI29:BS29" si="187">BH29</f>
        <v>219.61500000000007</v>
      </c>
      <c r="BJ29" s="26">
        <f t="shared" si="187"/>
        <v>219.61500000000007</v>
      </c>
      <c r="BK29" s="26">
        <f t="shared" si="187"/>
        <v>219.61500000000007</v>
      </c>
      <c r="BL29" s="26">
        <f t="shared" si="187"/>
        <v>219.61500000000007</v>
      </c>
      <c r="BM29" s="26">
        <f t="shared" si="187"/>
        <v>219.61500000000007</v>
      </c>
      <c r="BN29" s="26">
        <f t="shared" si="187"/>
        <v>219.61500000000007</v>
      </c>
      <c r="BO29" s="26">
        <f t="shared" si="187"/>
        <v>219.61500000000007</v>
      </c>
      <c r="BP29" s="26">
        <f t="shared" si="187"/>
        <v>219.61500000000007</v>
      </c>
      <c r="BQ29" s="26">
        <f t="shared" si="187"/>
        <v>219.61500000000007</v>
      </c>
      <c r="BR29" s="26">
        <f t="shared" si="187"/>
        <v>219.61500000000007</v>
      </c>
      <c r="BS29" s="26">
        <f t="shared" si="187"/>
        <v>219.61500000000007</v>
      </c>
      <c r="BT29" s="19">
        <v>1.1000000000000001</v>
      </c>
      <c r="BU29" s="26">
        <f>BS29*BT29</f>
        <v>241.5765000000001</v>
      </c>
      <c r="BV29" s="26">
        <f t="shared" ref="BV29:CE29" si="188">BU29</f>
        <v>241.5765000000001</v>
      </c>
      <c r="BW29" s="26">
        <f t="shared" si="188"/>
        <v>241.5765000000001</v>
      </c>
      <c r="BX29" s="26">
        <f t="shared" si="188"/>
        <v>241.5765000000001</v>
      </c>
      <c r="BY29" s="26">
        <f t="shared" si="188"/>
        <v>241.5765000000001</v>
      </c>
      <c r="BZ29" s="26">
        <f t="shared" si="188"/>
        <v>241.5765000000001</v>
      </c>
      <c r="CA29" s="26">
        <f t="shared" si="188"/>
        <v>241.5765000000001</v>
      </c>
      <c r="CB29" s="26">
        <f t="shared" si="188"/>
        <v>241.5765000000001</v>
      </c>
      <c r="CC29" s="26">
        <f t="shared" si="188"/>
        <v>241.5765000000001</v>
      </c>
      <c r="CD29" s="26">
        <f t="shared" si="188"/>
        <v>241.5765000000001</v>
      </c>
      <c r="CE29" s="26">
        <f t="shared" si="188"/>
        <v>241.5765000000001</v>
      </c>
      <c r="CF29" s="26">
        <f>CE29</f>
        <v>241.5765000000001</v>
      </c>
      <c r="CG29" s="311">
        <v>1.1000000000000001</v>
      </c>
      <c r="CH29" s="302">
        <f>CF29*CG29</f>
        <v>265.73415000000011</v>
      </c>
      <c r="CI29" s="302">
        <f t="shared" ref="CI29:CS29" si="189">CH29</f>
        <v>265.73415000000011</v>
      </c>
      <c r="CJ29" s="302">
        <f t="shared" si="189"/>
        <v>265.73415000000011</v>
      </c>
      <c r="CK29" s="302">
        <f t="shared" si="189"/>
        <v>265.73415000000011</v>
      </c>
      <c r="CL29" s="302">
        <f t="shared" si="189"/>
        <v>265.73415000000011</v>
      </c>
      <c r="CM29" s="302">
        <f t="shared" si="189"/>
        <v>265.73415000000011</v>
      </c>
      <c r="CN29" s="302">
        <f t="shared" si="189"/>
        <v>265.73415000000011</v>
      </c>
      <c r="CO29" s="302">
        <f t="shared" si="189"/>
        <v>265.73415000000011</v>
      </c>
      <c r="CP29" s="302">
        <f t="shared" si="189"/>
        <v>265.73415000000011</v>
      </c>
      <c r="CQ29" s="302">
        <f t="shared" si="189"/>
        <v>265.73415000000011</v>
      </c>
      <c r="CR29" s="302">
        <f t="shared" si="189"/>
        <v>265.73415000000011</v>
      </c>
      <c r="CS29" s="302">
        <f t="shared" si="189"/>
        <v>265.73415000000011</v>
      </c>
      <c r="CT29" s="311">
        <v>1.1000000000000001</v>
      </c>
      <c r="CU29" s="302">
        <f>CS29*CT29</f>
        <v>292.30756500000012</v>
      </c>
      <c r="CV29" s="302">
        <f t="shared" ref="CV29:DF29" si="190">CU29</f>
        <v>292.30756500000012</v>
      </c>
      <c r="CW29" s="302">
        <f t="shared" si="190"/>
        <v>292.30756500000012</v>
      </c>
      <c r="CX29" s="302">
        <f t="shared" si="190"/>
        <v>292.30756500000012</v>
      </c>
      <c r="CY29" s="302">
        <f t="shared" si="190"/>
        <v>292.30756500000012</v>
      </c>
      <c r="CZ29" s="302">
        <f t="shared" si="190"/>
        <v>292.30756500000012</v>
      </c>
      <c r="DA29" s="302">
        <f t="shared" si="190"/>
        <v>292.30756500000012</v>
      </c>
      <c r="DB29" s="302">
        <f t="shared" si="190"/>
        <v>292.30756500000012</v>
      </c>
      <c r="DC29" s="302">
        <f t="shared" si="190"/>
        <v>292.30756500000012</v>
      </c>
      <c r="DD29" s="302">
        <f t="shared" si="190"/>
        <v>292.30756500000012</v>
      </c>
      <c r="DE29" s="302">
        <f t="shared" si="190"/>
        <v>292.30756500000012</v>
      </c>
      <c r="DF29" s="302">
        <f t="shared" si="190"/>
        <v>292.30756500000012</v>
      </c>
    </row>
    <row r="30" spans="1:110" ht="15.75" thickBot="1">
      <c r="A30" s="16" t="s">
        <v>30</v>
      </c>
      <c r="B30" s="10" t="s">
        <v>31</v>
      </c>
      <c r="C30">
        <f>SUM(C31:C32)</f>
        <v>0</v>
      </c>
      <c r="D30" s="27">
        <f>SUM(D31:D32)</f>
        <v>0</v>
      </c>
      <c r="E30" s="27">
        <f t="shared" ref="E30:G30" si="191">SUM(E31:E32)</f>
        <v>0</v>
      </c>
      <c r="F30" s="27">
        <f t="shared" si="191"/>
        <v>0</v>
      </c>
      <c r="G30" s="27">
        <f t="shared" si="191"/>
        <v>0</v>
      </c>
      <c r="H30" s="27">
        <f>SUM(H31:H32)</f>
        <v>0</v>
      </c>
      <c r="I30" s="27">
        <f t="shared" ref="I30:S30" si="192">SUM(I31:I32)</f>
        <v>0</v>
      </c>
      <c r="J30" s="27">
        <f t="shared" si="192"/>
        <v>0</v>
      </c>
      <c r="K30" s="27">
        <f t="shared" si="192"/>
        <v>0</v>
      </c>
      <c r="L30" s="27">
        <f t="shared" si="192"/>
        <v>300</v>
      </c>
      <c r="M30" s="27">
        <f t="shared" si="192"/>
        <v>300</v>
      </c>
      <c r="N30" s="27">
        <f t="shared" si="192"/>
        <v>300</v>
      </c>
      <c r="O30" s="27">
        <f t="shared" si="192"/>
        <v>300</v>
      </c>
      <c r="P30" s="27">
        <f t="shared" si="192"/>
        <v>300</v>
      </c>
      <c r="Q30" s="27">
        <f t="shared" si="192"/>
        <v>300</v>
      </c>
      <c r="R30" s="27">
        <f t="shared" si="192"/>
        <v>300</v>
      </c>
      <c r="S30" s="27">
        <f t="shared" si="192"/>
        <v>300</v>
      </c>
      <c r="T30" s="5"/>
      <c r="U30" s="27">
        <f>SUM(U31:U32)</f>
        <v>330</v>
      </c>
      <c r="V30" s="27">
        <f t="shared" ref="V30:AF30" si="193">SUM(V31:V32)</f>
        <v>330</v>
      </c>
      <c r="W30" s="27">
        <f t="shared" si="193"/>
        <v>330</v>
      </c>
      <c r="X30" s="27">
        <f t="shared" si="193"/>
        <v>330</v>
      </c>
      <c r="Y30" s="27">
        <f t="shared" si="193"/>
        <v>330</v>
      </c>
      <c r="Z30" s="27">
        <f t="shared" si="193"/>
        <v>330</v>
      </c>
      <c r="AA30" s="27">
        <f t="shared" si="193"/>
        <v>330</v>
      </c>
      <c r="AB30" s="27">
        <f t="shared" si="193"/>
        <v>330</v>
      </c>
      <c r="AC30" s="27">
        <f t="shared" si="193"/>
        <v>330</v>
      </c>
      <c r="AD30" s="27">
        <f t="shared" si="193"/>
        <v>330</v>
      </c>
      <c r="AE30" s="27">
        <f t="shared" si="193"/>
        <v>330</v>
      </c>
      <c r="AF30" s="27">
        <f t="shared" si="193"/>
        <v>330</v>
      </c>
      <c r="AG30" s="5"/>
      <c r="AH30" s="27">
        <f>SUM(AH31:AH32)</f>
        <v>363.00000000000006</v>
      </c>
      <c r="AI30" s="27">
        <f t="shared" ref="AI30:AS30" si="194">SUM(AI31:AI32)</f>
        <v>363.00000000000006</v>
      </c>
      <c r="AJ30" s="27">
        <f t="shared" si="194"/>
        <v>363.00000000000006</v>
      </c>
      <c r="AK30" s="27">
        <f t="shared" si="194"/>
        <v>363.00000000000006</v>
      </c>
      <c r="AL30" s="27">
        <f t="shared" si="194"/>
        <v>363.00000000000006</v>
      </c>
      <c r="AM30" s="27">
        <f t="shared" si="194"/>
        <v>363.00000000000006</v>
      </c>
      <c r="AN30" s="27">
        <f t="shared" si="194"/>
        <v>363.00000000000006</v>
      </c>
      <c r="AO30" s="27">
        <f t="shared" si="194"/>
        <v>363.00000000000006</v>
      </c>
      <c r="AP30" s="27">
        <f t="shared" si="194"/>
        <v>363.00000000000006</v>
      </c>
      <c r="AQ30" s="27">
        <f t="shared" si="194"/>
        <v>363.00000000000006</v>
      </c>
      <c r="AR30" s="27">
        <f t="shared" si="194"/>
        <v>363.00000000000006</v>
      </c>
      <c r="AS30" s="27">
        <f t="shared" si="194"/>
        <v>363.00000000000006</v>
      </c>
      <c r="AT30" s="5"/>
      <c r="AU30" s="27">
        <f>SUM(AU31:AU32)</f>
        <v>399.30000000000007</v>
      </c>
      <c r="AV30" s="27">
        <f t="shared" ref="AV30" si="195">SUM(AV31:AV32)</f>
        <v>399.30000000000007</v>
      </c>
      <c r="AW30" s="27">
        <f t="shared" ref="AW30:BF30" si="196">SUM(AW31:AW32)</f>
        <v>399.30000000000007</v>
      </c>
      <c r="AX30" s="27">
        <f t="shared" si="196"/>
        <v>399.30000000000007</v>
      </c>
      <c r="AY30" s="27">
        <f t="shared" si="196"/>
        <v>399.30000000000007</v>
      </c>
      <c r="AZ30" s="27">
        <f t="shared" si="196"/>
        <v>399.30000000000007</v>
      </c>
      <c r="BA30" s="27">
        <f t="shared" si="196"/>
        <v>399.30000000000007</v>
      </c>
      <c r="BB30" s="27">
        <f t="shared" si="196"/>
        <v>399.30000000000007</v>
      </c>
      <c r="BC30" s="27">
        <f t="shared" si="196"/>
        <v>399.30000000000007</v>
      </c>
      <c r="BD30" s="27">
        <f t="shared" si="196"/>
        <v>399.30000000000007</v>
      </c>
      <c r="BE30" s="27">
        <f t="shared" si="196"/>
        <v>399.30000000000007</v>
      </c>
      <c r="BF30" s="27">
        <f t="shared" si="196"/>
        <v>399.30000000000007</v>
      </c>
      <c r="BG30" s="5"/>
      <c r="BH30" s="27">
        <f>SUM(BH31:BH32)</f>
        <v>439.23000000000013</v>
      </c>
      <c r="BI30" s="27">
        <f t="shared" ref="BI30" si="197">SUM(BI31:BI32)</f>
        <v>439.23000000000013</v>
      </c>
      <c r="BJ30" s="27">
        <f t="shared" ref="BJ30:BS30" si="198">SUM(BJ31:BJ32)</f>
        <v>439.23000000000013</v>
      </c>
      <c r="BK30" s="27">
        <f t="shared" si="198"/>
        <v>439.23000000000013</v>
      </c>
      <c r="BL30" s="27">
        <f t="shared" si="198"/>
        <v>439.23000000000013</v>
      </c>
      <c r="BM30" s="27">
        <f t="shared" si="198"/>
        <v>439.23000000000013</v>
      </c>
      <c r="BN30" s="27">
        <f t="shared" si="198"/>
        <v>439.23000000000013</v>
      </c>
      <c r="BO30" s="27">
        <f t="shared" si="198"/>
        <v>439.23000000000013</v>
      </c>
      <c r="BP30" s="27">
        <f t="shared" si="198"/>
        <v>439.23000000000013</v>
      </c>
      <c r="BQ30" s="27">
        <f t="shared" si="198"/>
        <v>439.23000000000013</v>
      </c>
      <c r="BR30" s="27">
        <f t="shared" si="198"/>
        <v>439.23000000000013</v>
      </c>
      <c r="BS30" s="27">
        <f t="shared" si="198"/>
        <v>439.23000000000013</v>
      </c>
      <c r="BT30" s="5"/>
      <c r="BU30" s="27">
        <f>SUM(BU31:BU32)</f>
        <v>483.15300000000019</v>
      </c>
      <c r="BV30" s="27">
        <f t="shared" ref="BV30" si="199">SUM(BV31:BV32)</f>
        <v>483.15300000000019</v>
      </c>
      <c r="BW30" s="27">
        <f t="shared" ref="BW30:CE30" si="200">SUM(BW31:BW32)</f>
        <v>483.15300000000019</v>
      </c>
      <c r="BX30" s="27">
        <f t="shared" si="200"/>
        <v>483.15300000000019</v>
      </c>
      <c r="BY30" s="27">
        <f t="shared" si="200"/>
        <v>483.15300000000019</v>
      </c>
      <c r="BZ30" s="27">
        <f t="shared" si="200"/>
        <v>483.15300000000019</v>
      </c>
      <c r="CA30" s="27">
        <f t="shared" si="200"/>
        <v>483.15300000000019</v>
      </c>
      <c r="CB30" s="27">
        <f t="shared" si="200"/>
        <v>483.15300000000019</v>
      </c>
      <c r="CC30" s="27">
        <f t="shared" si="200"/>
        <v>483.15300000000019</v>
      </c>
      <c r="CD30" s="27">
        <f t="shared" si="200"/>
        <v>483.15300000000019</v>
      </c>
      <c r="CE30" s="27">
        <f t="shared" si="200"/>
        <v>483.15300000000019</v>
      </c>
      <c r="CF30" s="27">
        <f>SUM(CF31:CF32)</f>
        <v>483.15300000000019</v>
      </c>
      <c r="CH30" s="305">
        <f>SUM(CH31:CH32)</f>
        <v>531.46830000000023</v>
      </c>
      <c r="CI30" s="305">
        <f t="shared" ref="CI30:CS30" si="201">SUM(CI31:CI32)</f>
        <v>531.46830000000023</v>
      </c>
      <c r="CJ30" s="305">
        <f t="shared" si="201"/>
        <v>531.46830000000023</v>
      </c>
      <c r="CK30" s="305">
        <f t="shared" si="201"/>
        <v>531.46830000000023</v>
      </c>
      <c r="CL30" s="305">
        <f t="shared" si="201"/>
        <v>531.46830000000023</v>
      </c>
      <c r="CM30" s="305">
        <f t="shared" si="201"/>
        <v>531.46830000000023</v>
      </c>
      <c r="CN30" s="305">
        <f t="shared" si="201"/>
        <v>531.46830000000023</v>
      </c>
      <c r="CO30" s="305">
        <f t="shared" si="201"/>
        <v>531.46830000000023</v>
      </c>
      <c r="CP30" s="305">
        <f t="shared" si="201"/>
        <v>531.46830000000023</v>
      </c>
      <c r="CQ30" s="305">
        <f t="shared" si="201"/>
        <v>531.46830000000023</v>
      </c>
      <c r="CR30" s="305">
        <f t="shared" si="201"/>
        <v>531.46830000000023</v>
      </c>
      <c r="CS30" s="305">
        <f t="shared" si="201"/>
        <v>531.46830000000023</v>
      </c>
      <c r="CU30" s="323">
        <f>SUM(CU31:CU32)</f>
        <v>584.61513000000025</v>
      </c>
      <c r="CV30" s="323">
        <f>SUM(CV31:CV32)</f>
        <v>584.61513000000025</v>
      </c>
      <c r="CW30" s="323">
        <f t="shared" ref="CW30:DF30" si="202">SUM(CW31:CW32)</f>
        <v>584.61513000000025</v>
      </c>
      <c r="CX30" s="323">
        <f t="shared" si="202"/>
        <v>584.61513000000025</v>
      </c>
      <c r="CY30" s="323">
        <f t="shared" si="202"/>
        <v>584.61513000000025</v>
      </c>
      <c r="CZ30" s="323">
        <f t="shared" si="202"/>
        <v>584.61513000000025</v>
      </c>
      <c r="DA30" s="323">
        <f t="shared" si="202"/>
        <v>584.61513000000025</v>
      </c>
      <c r="DB30" s="323">
        <f t="shared" si="202"/>
        <v>584.61513000000025</v>
      </c>
      <c r="DC30" s="323">
        <f t="shared" si="202"/>
        <v>584.61513000000025</v>
      </c>
      <c r="DD30" s="323">
        <f t="shared" si="202"/>
        <v>584.61513000000025</v>
      </c>
      <c r="DE30" s="323">
        <f t="shared" si="202"/>
        <v>584.61513000000025</v>
      </c>
      <c r="DF30" s="323">
        <f t="shared" si="202"/>
        <v>584.61513000000025</v>
      </c>
    </row>
    <row r="31" spans="1:110" ht="15" thickBot="1">
      <c r="A31" s="19" t="s">
        <v>32</v>
      </c>
      <c r="B31" s="5" t="s">
        <v>33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19">
        <v>1.1000000000000001</v>
      </c>
      <c r="U31" s="26">
        <f>S31*T31</f>
        <v>0</v>
      </c>
      <c r="V31" s="26">
        <f>U31</f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19">
        <v>1.1000000000000001</v>
      </c>
      <c r="AH31" s="26">
        <f t="shared" ref="AH31:AH32" si="203">AF31*AG31</f>
        <v>0</v>
      </c>
      <c r="AI31" s="26">
        <f t="shared" ref="AI31:AS31" si="204">AH31</f>
        <v>0</v>
      </c>
      <c r="AJ31" s="26">
        <f t="shared" si="204"/>
        <v>0</v>
      </c>
      <c r="AK31" s="26">
        <f t="shared" si="204"/>
        <v>0</v>
      </c>
      <c r="AL31" s="26">
        <f t="shared" si="204"/>
        <v>0</v>
      </c>
      <c r="AM31" s="26">
        <f t="shared" si="204"/>
        <v>0</v>
      </c>
      <c r="AN31" s="26">
        <f t="shared" si="204"/>
        <v>0</v>
      </c>
      <c r="AO31" s="26">
        <f t="shared" si="204"/>
        <v>0</v>
      </c>
      <c r="AP31" s="26">
        <f t="shared" si="204"/>
        <v>0</v>
      </c>
      <c r="AQ31" s="26">
        <f t="shared" si="204"/>
        <v>0</v>
      </c>
      <c r="AR31" s="26">
        <f t="shared" si="204"/>
        <v>0</v>
      </c>
      <c r="AS31" s="26">
        <f t="shared" si="204"/>
        <v>0</v>
      </c>
      <c r="AT31" s="19">
        <v>1.1000000000000001</v>
      </c>
      <c r="AU31" s="26">
        <f t="shared" ref="AU31:AU32" si="205">AS31*AT31</f>
        <v>0</v>
      </c>
      <c r="AV31" s="26">
        <f t="shared" ref="AV31" si="206">AU31</f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19">
        <v>1.1000000000000001</v>
      </c>
      <c r="BH31" s="26">
        <f t="shared" ref="BH31:BH32" si="207">BF31*BG31</f>
        <v>0</v>
      </c>
      <c r="BI31" s="26">
        <f t="shared" ref="BI31" si="208">BH31</f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19">
        <v>1.1000000000000001</v>
      </c>
      <c r="BU31" s="26">
        <f t="shared" ref="BU31" si="209">BS31*BT31</f>
        <v>0</v>
      </c>
      <c r="BV31" s="26">
        <f t="shared" ref="BV31" si="210">BU31</f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  <c r="CG31" s="311">
        <v>1.1000000000000001</v>
      </c>
      <c r="CH31" s="306">
        <v>0</v>
      </c>
      <c r="CI31" s="306">
        <v>0</v>
      </c>
      <c r="CJ31" s="306">
        <v>0</v>
      </c>
      <c r="CK31" s="306">
        <v>0</v>
      </c>
      <c r="CL31" s="306">
        <v>0</v>
      </c>
      <c r="CM31" s="306">
        <v>0</v>
      </c>
      <c r="CN31" s="306">
        <v>0</v>
      </c>
      <c r="CO31" s="306">
        <v>0</v>
      </c>
      <c r="CP31" s="306">
        <v>0</v>
      </c>
      <c r="CQ31" s="306">
        <v>0</v>
      </c>
      <c r="CR31" s="306">
        <v>0</v>
      </c>
      <c r="CS31" s="306">
        <v>0</v>
      </c>
      <c r="CT31" s="311">
        <v>1.1000000000000001</v>
      </c>
      <c r="CU31" s="329">
        <v>0</v>
      </c>
      <c r="CV31" s="329">
        <v>0</v>
      </c>
      <c r="CW31" s="329">
        <v>0</v>
      </c>
      <c r="CX31" s="329">
        <v>0</v>
      </c>
      <c r="CY31" s="329">
        <v>0</v>
      </c>
      <c r="CZ31" s="329">
        <v>0</v>
      </c>
      <c r="DA31" s="329">
        <v>0</v>
      </c>
      <c r="DB31" s="329">
        <v>0</v>
      </c>
      <c r="DC31" s="329">
        <v>0</v>
      </c>
      <c r="DD31" s="329">
        <v>0</v>
      </c>
      <c r="DE31" s="329">
        <v>0</v>
      </c>
      <c r="DF31" s="329">
        <v>0</v>
      </c>
    </row>
    <row r="32" spans="1:110" ht="15" thickBot="1">
      <c r="A32" s="19" t="s">
        <v>34</v>
      </c>
      <c r="B32" s="5" t="s">
        <v>35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300</v>
      </c>
      <c r="M32" s="26">
        <v>300</v>
      </c>
      <c r="N32" s="26">
        <v>300</v>
      </c>
      <c r="O32" s="26">
        <v>300</v>
      </c>
      <c r="P32" s="26">
        <v>300</v>
      </c>
      <c r="Q32" s="26">
        <v>300</v>
      </c>
      <c r="R32" s="26">
        <v>300</v>
      </c>
      <c r="S32" s="26">
        <v>300</v>
      </c>
      <c r="T32" s="19">
        <v>1.1000000000000001</v>
      </c>
      <c r="U32" s="26">
        <f t="shared" ref="U32" si="211">S32*T32</f>
        <v>330</v>
      </c>
      <c r="V32" s="26">
        <f t="shared" ref="V32:AF32" si="212">U32</f>
        <v>330</v>
      </c>
      <c r="W32" s="26">
        <f t="shared" si="212"/>
        <v>330</v>
      </c>
      <c r="X32" s="26">
        <f t="shared" si="212"/>
        <v>330</v>
      </c>
      <c r="Y32" s="26">
        <f t="shared" si="212"/>
        <v>330</v>
      </c>
      <c r="Z32" s="26">
        <f t="shared" si="212"/>
        <v>330</v>
      </c>
      <c r="AA32" s="26">
        <f t="shared" si="212"/>
        <v>330</v>
      </c>
      <c r="AB32" s="26">
        <f t="shared" si="212"/>
        <v>330</v>
      </c>
      <c r="AC32" s="26">
        <f t="shared" si="212"/>
        <v>330</v>
      </c>
      <c r="AD32" s="26">
        <f t="shared" si="212"/>
        <v>330</v>
      </c>
      <c r="AE32" s="26">
        <f>AD32</f>
        <v>330</v>
      </c>
      <c r="AF32" s="26">
        <f t="shared" si="212"/>
        <v>330</v>
      </c>
      <c r="AG32" s="19">
        <v>1.1000000000000001</v>
      </c>
      <c r="AH32" s="26">
        <f t="shared" si="203"/>
        <v>363.00000000000006</v>
      </c>
      <c r="AI32" s="26">
        <f t="shared" ref="AI32:AS34" si="213">AH32</f>
        <v>363.00000000000006</v>
      </c>
      <c r="AJ32" s="26">
        <f t="shared" si="213"/>
        <v>363.00000000000006</v>
      </c>
      <c r="AK32" s="26">
        <f t="shared" si="213"/>
        <v>363.00000000000006</v>
      </c>
      <c r="AL32" s="26">
        <f t="shared" si="213"/>
        <v>363.00000000000006</v>
      </c>
      <c r="AM32" s="26">
        <f t="shared" si="213"/>
        <v>363.00000000000006</v>
      </c>
      <c r="AN32" s="26">
        <f t="shared" si="213"/>
        <v>363.00000000000006</v>
      </c>
      <c r="AO32" s="26">
        <f t="shared" si="213"/>
        <v>363.00000000000006</v>
      </c>
      <c r="AP32" s="26">
        <f t="shared" si="213"/>
        <v>363.00000000000006</v>
      </c>
      <c r="AQ32" s="26">
        <f t="shared" si="213"/>
        <v>363.00000000000006</v>
      </c>
      <c r="AR32" s="26">
        <f t="shared" si="213"/>
        <v>363.00000000000006</v>
      </c>
      <c r="AS32" s="26">
        <f t="shared" si="213"/>
        <v>363.00000000000006</v>
      </c>
      <c r="AT32" s="19">
        <v>1.1000000000000001</v>
      </c>
      <c r="AU32" s="26">
        <f t="shared" si="205"/>
        <v>399.30000000000007</v>
      </c>
      <c r="AV32" s="26">
        <f t="shared" ref="AV32:BF32" si="214">AU32</f>
        <v>399.30000000000007</v>
      </c>
      <c r="AW32" s="26">
        <f t="shared" si="214"/>
        <v>399.30000000000007</v>
      </c>
      <c r="AX32" s="26">
        <f t="shared" si="214"/>
        <v>399.30000000000007</v>
      </c>
      <c r="AY32" s="26">
        <f t="shared" si="214"/>
        <v>399.30000000000007</v>
      </c>
      <c r="AZ32" s="26">
        <f t="shared" si="214"/>
        <v>399.30000000000007</v>
      </c>
      <c r="BA32" s="26">
        <f t="shared" si="214"/>
        <v>399.30000000000007</v>
      </c>
      <c r="BB32" s="26">
        <f t="shared" si="214"/>
        <v>399.30000000000007</v>
      </c>
      <c r="BC32" s="26">
        <f t="shared" si="214"/>
        <v>399.30000000000007</v>
      </c>
      <c r="BD32" s="26">
        <f t="shared" si="214"/>
        <v>399.30000000000007</v>
      </c>
      <c r="BE32" s="26">
        <f t="shared" si="214"/>
        <v>399.30000000000007</v>
      </c>
      <c r="BF32" s="26">
        <f t="shared" si="214"/>
        <v>399.30000000000007</v>
      </c>
      <c r="BG32" s="19">
        <v>1.1000000000000001</v>
      </c>
      <c r="BH32" s="26">
        <f t="shared" si="207"/>
        <v>439.23000000000013</v>
      </c>
      <c r="BI32" s="26">
        <f t="shared" ref="BI32:BS32" si="215">BH32</f>
        <v>439.23000000000013</v>
      </c>
      <c r="BJ32" s="26">
        <f t="shared" si="215"/>
        <v>439.23000000000013</v>
      </c>
      <c r="BK32" s="26">
        <f t="shared" si="215"/>
        <v>439.23000000000013</v>
      </c>
      <c r="BL32" s="26">
        <f t="shared" si="215"/>
        <v>439.23000000000013</v>
      </c>
      <c r="BM32" s="26">
        <f t="shared" si="215"/>
        <v>439.23000000000013</v>
      </c>
      <c r="BN32" s="26">
        <f t="shared" si="215"/>
        <v>439.23000000000013</v>
      </c>
      <c r="BO32" s="26">
        <f t="shared" si="215"/>
        <v>439.23000000000013</v>
      </c>
      <c r="BP32" s="26">
        <f t="shared" si="215"/>
        <v>439.23000000000013</v>
      </c>
      <c r="BQ32" s="26">
        <f t="shared" si="215"/>
        <v>439.23000000000013</v>
      </c>
      <c r="BR32" s="26">
        <f t="shared" si="215"/>
        <v>439.23000000000013</v>
      </c>
      <c r="BS32" s="26">
        <f t="shared" si="215"/>
        <v>439.23000000000013</v>
      </c>
      <c r="BT32" s="19">
        <v>1.1000000000000001</v>
      </c>
      <c r="BU32" s="26">
        <f>BS32*BT32</f>
        <v>483.15300000000019</v>
      </c>
      <c r="BV32" s="26">
        <f t="shared" ref="BV32:CE32" si="216">BU32</f>
        <v>483.15300000000019</v>
      </c>
      <c r="BW32" s="26">
        <f t="shared" si="216"/>
        <v>483.15300000000019</v>
      </c>
      <c r="BX32" s="26">
        <f t="shared" si="216"/>
        <v>483.15300000000019</v>
      </c>
      <c r="BY32" s="26">
        <f t="shared" si="216"/>
        <v>483.15300000000019</v>
      </c>
      <c r="BZ32" s="26">
        <f t="shared" si="216"/>
        <v>483.15300000000019</v>
      </c>
      <c r="CA32" s="26">
        <f t="shared" si="216"/>
        <v>483.15300000000019</v>
      </c>
      <c r="CB32" s="26">
        <f t="shared" si="216"/>
        <v>483.15300000000019</v>
      </c>
      <c r="CC32" s="26">
        <f t="shared" si="216"/>
        <v>483.15300000000019</v>
      </c>
      <c r="CD32" s="26">
        <f t="shared" si="216"/>
        <v>483.15300000000019</v>
      </c>
      <c r="CE32" s="26">
        <f t="shared" si="216"/>
        <v>483.15300000000019</v>
      </c>
      <c r="CF32" s="26">
        <f>CE32</f>
        <v>483.15300000000019</v>
      </c>
      <c r="CG32" s="311">
        <v>1.1000000000000001</v>
      </c>
      <c r="CH32" s="302">
        <f>CF32*CG32</f>
        <v>531.46830000000023</v>
      </c>
      <c r="CI32" s="302">
        <f t="shared" ref="CI32:CS32" si="217">CH32</f>
        <v>531.46830000000023</v>
      </c>
      <c r="CJ32" s="302">
        <f t="shared" si="217"/>
        <v>531.46830000000023</v>
      </c>
      <c r="CK32" s="302">
        <f t="shared" si="217"/>
        <v>531.46830000000023</v>
      </c>
      <c r="CL32" s="302">
        <f t="shared" si="217"/>
        <v>531.46830000000023</v>
      </c>
      <c r="CM32" s="302">
        <f t="shared" si="217"/>
        <v>531.46830000000023</v>
      </c>
      <c r="CN32" s="302">
        <f t="shared" si="217"/>
        <v>531.46830000000023</v>
      </c>
      <c r="CO32" s="302">
        <f t="shared" si="217"/>
        <v>531.46830000000023</v>
      </c>
      <c r="CP32" s="302">
        <f t="shared" si="217"/>
        <v>531.46830000000023</v>
      </c>
      <c r="CQ32" s="302">
        <f t="shared" si="217"/>
        <v>531.46830000000023</v>
      </c>
      <c r="CR32" s="302">
        <f t="shared" si="217"/>
        <v>531.46830000000023</v>
      </c>
      <c r="CS32" s="302">
        <f t="shared" si="217"/>
        <v>531.46830000000023</v>
      </c>
      <c r="CT32" s="311">
        <v>1.1000000000000001</v>
      </c>
      <c r="CU32" s="302">
        <f>CS32*CT32</f>
        <v>584.61513000000025</v>
      </c>
      <c r="CV32" s="302">
        <f t="shared" ref="CV32:DF32" si="218">CU32</f>
        <v>584.61513000000025</v>
      </c>
      <c r="CW32" s="302">
        <f t="shared" si="218"/>
        <v>584.61513000000025</v>
      </c>
      <c r="CX32" s="302">
        <f t="shared" si="218"/>
        <v>584.61513000000025</v>
      </c>
      <c r="CY32" s="302">
        <f t="shared" si="218"/>
        <v>584.61513000000025</v>
      </c>
      <c r="CZ32" s="302">
        <f t="shared" si="218"/>
        <v>584.61513000000025</v>
      </c>
      <c r="DA32" s="302">
        <f t="shared" si="218"/>
        <v>584.61513000000025</v>
      </c>
      <c r="DB32" s="302">
        <f t="shared" si="218"/>
        <v>584.61513000000025</v>
      </c>
      <c r="DC32" s="302">
        <f t="shared" si="218"/>
        <v>584.61513000000025</v>
      </c>
      <c r="DD32" s="302">
        <f t="shared" si="218"/>
        <v>584.61513000000025</v>
      </c>
      <c r="DE32" s="302">
        <f t="shared" si="218"/>
        <v>584.61513000000025</v>
      </c>
      <c r="DF32" s="302">
        <f t="shared" si="218"/>
        <v>584.61513000000025</v>
      </c>
    </row>
    <row r="33" spans="1:110" ht="15.75" thickBot="1">
      <c r="A33" s="16" t="s">
        <v>36</v>
      </c>
      <c r="B33" s="10" t="s">
        <v>37</v>
      </c>
      <c r="C33">
        <f>SUM(C34:C37)</f>
        <v>0</v>
      </c>
      <c r="D33" s="39">
        <f>SUM(D34:D37)</f>
        <v>0</v>
      </c>
      <c r="E33" s="39">
        <f t="shared" ref="E33:G33" si="219">SUM(E34:E37)</f>
        <v>0</v>
      </c>
      <c r="F33" s="39">
        <f>SUM(F34:F37)</f>
        <v>5000</v>
      </c>
      <c r="G33" s="39">
        <f t="shared" si="219"/>
        <v>5000</v>
      </c>
      <c r="H33" s="39">
        <f>SUM(H34:H37)</f>
        <v>5000</v>
      </c>
      <c r="I33" s="39">
        <f t="shared" ref="I33:S33" si="220">SUM(I34:I37)</f>
        <v>5000</v>
      </c>
      <c r="J33" s="39">
        <f>SUM(J34:J37)</f>
        <v>5000</v>
      </c>
      <c r="K33" s="39">
        <f t="shared" si="220"/>
        <v>5000</v>
      </c>
      <c r="L33" s="39">
        <f t="shared" si="220"/>
        <v>5000</v>
      </c>
      <c r="M33" s="39">
        <f t="shared" si="220"/>
        <v>5000</v>
      </c>
      <c r="N33" s="39">
        <f t="shared" si="220"/>
        <v>5000</v>
      </c>
      <c r="O33" s="39">
        <f t="shared" si="220"/>
        <v>5000</v>
      </c>
      <c r="P33" s="39">
        <f t="shared" si="220"/>
        <v>5000</v>
      </c>
      <c r="Q33" s="39">
        <f t="shared" si="220"/>
        <v>5000</v>
      </c>
      <c r="R33" s="39">
        <f t="shared" si="220"/>
        <v>5000</v>
      </c>
      <c r="S33" s="39">
        <f t="shared" si="220"/>
        <v>5000</v>
      </c>
      <c r="T33" s="5"/>
      <c r="U33" s="39">
        <f>SUM(U34:U37)</f>
        <v>5500</v>
      </c>
      <c r="V33" s="39">
        <f t="shared" ref="V33:AF33" si="221">SUM(V34:V37)</f>
        <v>5500</v>
      </c>
      <c r="W33" s="39">
        <f t="shared" si="221"/>
        <v>5500</v>
      </c>
      <c r="X33" s="39">
        <f t="shared" si="221"/>
        <v>5500</v>
      </c>
      <c r="Y33" s="39">
        <f t="shared" si="221"/>
        <v>5500</v>
      </c>
      <c r="Z33" s="39">
        <f t="shared" si="221"/>
        <v>5500</v>
      </c>
      <c r="AA33" s="39">
        <f t="shared" si="221"/>
        <v>5500</v>
      </c>
      <c r="AB33" s="39">
        <f t="shared" si="221"/>
        <v>5500</v>
      </c>
      <c r="AC33" s="39">
        <f t="shared" si="221"/>
        <v>5500</v>
      </c>
      <c r="AD33" s="39">
        <f t="shared" si="221"/>
        <v>5500</v>
      </c>
      <c r="AE33" s="39">
        <f t="shared" si="221"/>
        <v>5500</v>
      </c>
      <c r="AF33" s="39">
        <f t="shared" si="221"/>
        <v>5500</v>
      </c>
      <c r="AG33" s="5"/>
      <c r="AH33" s="39">
        <f>SUM(AH34:AH37)</f>
        <v>6050.0000000000009</v>
      </c>
      <c r="AI33" s="39">
        <f t="shared" ref="AI33:AS33" si="222">SUM(AI34:AI37)</f>
        <v>6050.0000000000009</v>
      </c>
      <c r="AJ33" s="39">
        <f t="shared" si="222"/>
        <v>6050.0000000000009</v>
      </c>
      <c r="AK33" s="39">
        <f t="shared" si="222"/>
        <v>6050.0000000000009</v>
      </c>
      <c r="AL33" s="39">
        <f t="shared" si="222"/>
        <v>6050.0000000000009</v>
      </c>
      <c r="AM33" s="39">
        <f t="shared" si="222"/>
        <v>6050.0000000000009</v>
      </c>
      <c r="AN33" s="39">
        <f t="shared" si="222"/>
        <v>6050.0000000000009</v>
      </c>
      <c r="AO33" s="39">
        <f t="shared" si="222"/>
        <v>6050.0000000000009</v>
      </c>
      <c r="AP33" s="39">
        <f t="shared" si="222"/>
        <v>6050.0000000000009</v>
      </c>
      <c r="AQ33" s="39">
        <f t="shared" si="222"/>
        <v>6050.0000000000009</v>
      </c>
      <c r="AR33" s="39">
        <f t="shared" si="222"/>
        <v>6050.0000000000009</v>
      </c>
      <c r="AS33" s="39">
        <f t="shared" si="222"/>
        <v>6050.0000000000009</v>
      </c>
      <c r="AT33" s="5"/>
      <c r="AU33" s="39">
        <f>SUM(AU34:AU37)</f>
        <v>6655.0000000000018</v>
      </c>
      <c r="AV33" s="39">
        <f t="shared" ref="AV33" si="223">SUM(AV34:AV37)</f>
        <v>6655.0000000000018</v>
      </c>
      <c r="AW33" s="39">
        <f t="shared" ref="AW33:BF33" si="224">SUM(AW34:AW37)</f>
        <v>6655.0000000000018</v>
      </c>
      <c r="AX33" s="39">
        <f t="shared" si="224"/>
        <v>6655.0000000000018</v>
      </c>
      <c r="AY33" s="39">
        <f t="shared" si="224"/>
        <v>6655.0000000000018</v>
      </c>
      <c r="AZ33" s="39">
        <f t="shared" si="224"/>
        <v>6655.0000000000018</v>
      </c>
      <c r="BA33" s="39">
        <f t="shared" si="224"/>
        <v>6655.0000000000018</v>
      </c>
      <c r="BB33" s="39">
        <f t="shared" si="224"/>
        <v>6655.0000000000018</v>
      </c>
      <c r="BC33" s="39">
        <f t="shared" si="224"/>
        <v>6655.0000000000018</v>
      </c>
      <c r="BD33" s="39">
        <f t="shared" si="224"/>
        <v>6655.0000000000018</v>
      </c>
      <c r="BE33" s="39">
        <f t="shared" si="224"/>
        <v>6655.0000000000018</v>
      </c>
      <c r="BF33" s="39">
        <f t="shared" si="224"/>
        <v>6655.0000000000018</v>
      </c>
      <c r="BG33" s="5"/>
      <c r="BH33" s="39">
        <f>SUM(BH34:BH37)</f>
        <v>7320.5000000000018</v>
      </c>
      <c r="BI33" s="39">
        <f t="shared" ref="BI33" si="225">SUM(BI34:BI37)</f>
        <v>7320.5000000000018</v>
      </c>
      <c r="BJ33" s="39">
        <f t="shared" ref="BJ33:BS33" si="226">SUM(BJ34:BJ37)</f>
        <v>7320.5000000000018</v>
      </c>
      <c r="BK33" s="39">
        <f t="shared" si="226"/>
        <v>7320.5000000000018</v>
      </c>
      <c r="BL33" s="39">
        <f t="shared" si="226"/>
        <v>7320.5000000000018</v>
      </c>
      <c r="BM33" s="39">
        <f t="shared" si="226"/>
        <v>7320.5000000000018</v>
      </c>
      <c r="BN33" s="39">
        <f t="shared" si="226"/>
        <v>7320.5000000000018</v>
      </c>
      <c r="BO33" s="39">
        <f t="shared" si="226"/>
        <v>7320.5000000000018</v>
      </c>
      <c r="BP33" s="39">
        <f t="shared" si="226"/>
        <v>7320.5000000000018</v>
      </c>
      <c r="BQ33" s="39">
        <f t="shared" si="226"/>
        <v>7320.5000000000018</v>
      </c>
      <c r="BR33" s="39">
        <f t="shared" si="226"/>
        <v>7320.5000000000018</v>
      </c>
      <c r="BS33" s="39">
        <f t="shared" si="226"/>
        <v>7320.5000000000018</v>
      </c>
      <c r="BT33" s="5"/>
      <c r="BU33" s="39">
        <f>SUM(BU34:BU37)</f>
        <v>8052.5500000000029</v>
      </c>
      <c r="BV33" s="39">
        <f t="shared" ref="BV33" si="227">SUM(BV34:BV37)</f>
        <v>8052.5500000000029</v>
      </c>
      <c r="BW33" s="39">
        <f t="shared" ref="BW33:CE33" si="228">SUM(BW34:BW37)</f>
        <v>8052.5500000000029</v>
      </c>
      <c r="BX33" s="39">
        <f t="shared" si="228"/>
        <v>8052.5500000000029</v>
      </c>
      <c r="BY33" s="39">
        <f t="shared" si="228"/>
        <v>8052.5500000000029</v>
      </c>
      <c r="BZ33" s="39">
        <f t="shared" si="228"/>
        <v>8052.5500000000029</v>
      </c>
      <c r="CA33" s="39">
        <f t="shared" si="228"/>
        <v>8052.5500000000029</v>
      </c>
      <c r="CB33" s="39">
        <f t="shared" si="228"/>
        <v>8052.5500000000029</v>
      </c>
      <c r="CC33" s="39">
        <f t="shared" si="228"/>
        <v>8052.5500000000029</v>
      </c>
      <c r="CD33" s="39">
        <f t="shared" si="228"/>
        <v>8052.5500000000029</v>
      </c>
      <c r="CE33" s="39">
        <f t="shared" si="228"/>
        <v>8052.5500000000029</v>
      </c>
      <c r="CF33" s="39">
        <f>SUM(CF34:CF37)</f>
        <v>8052.5500000000029</v>
      </c>
      <c r="CH33" s="312">
        <f>SUM(CH34:CH37)</f>
        <v>8052.5500000000029</v>
      </c>
      <c r="CI33" s="312">
        <f t="shared" ref="CI33:CS33" si="229">SUM(CI34:CI37)</f>
        <v>8052.5500000000029</v>
      </c>
      <c r="CJ33" s="312">
        <f t="shared" si="229"/>
        <v>8052.5500000000029</v>
      </c>
      <c r="CK33" s="312">
        <f t="shared" si="229"/>
        <v>8052.5500000000029</v>
      </c>
      <c r="CL33" s="312">
        <f t="shared" si="229"/>
        <v>8052.5500000000029</v>
      </c>
      <c r="CM33" s="312">
        <f t="shared" si="229"/>
        <v>8052.5500000000029</v>
      </c>
      <c r="CN33" s="312">
        <f t="shared" si="229"/>
        <v>8052.5500000000029</v>
      </c>
      <c r="CO33" s="312">
        <f t="shared" si="229"/>
        <v>8052.5500000000029</v>
      </c>
      <c r="CP33" s="312">
        <f t="shared" si="229"/>
        <v>8052.5500000000029</v>
      </c>
      <c r="CQ33" s="312">
        <f t="shared" si="229"/>
        <v>8052.5500000000029</v>
      </c>
      <c r="CR33" s="312">
        <f t="shared" si="229"/>
        <v>8052.5500000000029</v>
      </c>
      <c r="CS33" s="312">
        <f t="shared" si="229"/>
        <v>8052.5500000000029</v>
      </c>
      <c r="CU33" s="331">
        <f>SUM(CU34:CU37)</f>
        <v>8052.5500000000029</v>
      </c>
      <c r="CV33" s="331">
        <f t="shared" ref="CV33:DF33" si="230">SUM(CV34:CV37)</f>
        <v>8052.5500000000029</v>
      </c>
      <c r="CW33" s="331">
        <f t="shared" si="230"/>
        <v>8052.5500000000029</v>
      </c>
      <c r="CX33" s="331">
        <f t="shared" si="230"/>
        <v>8052.5500000000029</v>
      </c>
      <c r="CY33" s="331">
        <f t="shared" si="230"/>
        <v>8052.5500000000029</v>
      </c>
      <c r="CZ33" s="331">
        <f t="shared" si="230"/>
        <v>8052.5500000000029</v>
      </c>
      <c r="DA33" s="331">
        <f t="shared" si="230"/>
        <v>8052.5500000000029</v>
      </c>
      <c r="DB33" s="331">
        <f t="shared" si="230"/>
        <v>8052.5500000000029</v>
      </c>
      <c r="DC33" s="331">
        <f t="shared" si="230"/>
        <v>8052.5500000000029</v>
      </c>
      <c r="DD33" s="331">
        <f t="shared" si="230"/>
        <v>8052.5500000000029</v>
      </c>
      <c r="DE33" s="331">
        <f t="shared" si="230"/>
        <v>8052.5500000000029</v>
      </c>
      <c r="DF33" s="331">
        <f t="shared" si="230"/>
        <v>8052.5500000000029</v>
      </c>
    </row>
    <row r="34" spans="1:110" ht="15" thickBot="1">
      <c r="A34" s="19" t="s">
        <v>38</v>
      </c>
      <c r="B34" s="5" t="s">
        <v>39</v>
      </c>
      <c r="D34" s="297"/>
      <c r="E34" s="42">
        <v>0</v>
      </c>
      <c r="F34" s="42">
        <v>2000</v>
      </c>
      <c r="G34" s="42">
        <f t="shared" ref="G34:S34" si="231">F34</f>
        <v>2000</v>
      </c>
      <c r="H34" s="42">
        <f t="shared" si="231"/>
        <v>2000</v>
      </c>
      <c r="I34" s="42">
        <f t="shared" si="231"/>
        <v>2000</v>
      </c>
      <c r="J34" s="42">
        <f t="shared" si="231"/>
        <v>2000</v>
      </c>
      <c r="K34" s="42">
        <f t="shared" si="231"/>
        <v>2000</v>
      </c>
      <c r="L34" s="42">
        <f t="shared" si="231"/>
        <v>2000</v>
      </c>
      <c r="M34" s="42">
        <f t="shared" si="231"/>
        <v>2000</v>
      </c>
      <c r="N34" s="42">
        <f t="shared" si="231"/>
        <v>2000</v>
      </c>
      <c r="O34" s="42">
        <f t="shared" si="231"/>
        <v>2000</v>
      </c>
      <c r="P34" s="42">
        <f t="shared" si="231"/>
        <v>2000</v>
      </c>
      <c r="Q34" s="42">
        <f t="shared" si="231"/>
        <v>2000</v>
      </c>
      <c r="R34" s="42">
        <f t="shared" si="231"/>
        <v>2000</v>
      </c>
      <c r="S34" s="42">
        <f t="shared" si="231"/>
        <v>2000</v>
      </c>
      <c r="T34" s="19">
        <v>1.1000000000000001</v>
      </c>
      <c r="U34" s="26">
        <f>S34*T34</f>
        <v>2200</v>
      </c>
      <c r="V34" s="26">
        <f>U34</f>
        <v>2200</v>
      </c>
      <c r="W34" s="26">
        <f t="shared" ref="W34:AF34" si="232">V34</f>
        <v>2200</v>
      </c>
      <c r="X34" s="26">
        <f t="shared" si="232"/>
        <v>2200</v>
      </c>
      <c r="Y34" s="26">
        <f t="shared" si="232"/>
        <v>2200</v>
      </c>
      <c r="Z34" s="26">
        <f t="shared" si="232"/>
        <v>2200</v>
      </c>
      <c r="AA34" s="26">
        <f t="shared" si="232"/>
        <v>2200</v>
      </c>
      <c r="AB34" s="26">
        <f t="shared" si="232"/>
        <v>2200</v>
      </c>
      <c r="AC34" s="26">
        <f t="shared" si="232"/>
        <v>2200</v>
      </c>
      <c r="AD34" s="26">
        <f t="shared" si="232"/>
        <v>2200</v>
      </c>
      <c r="AE34" s="26">
        <f>AD34</f>
        <v>2200</v>
      </c>
      <c r="AF34" s="26">
        <f t="shared" si="232"/>
        <v>2200</v>
      </c>
      <c r="AG34" s="19">
        <v>1.1000000000000001</v>
      </c>
      <c r="AH34" s="26">
        <f t="shared" ref="AH34" si="233">AF34*AG34</f>
        <v>2420</v>
      </c>
      <c r="AI34" s="26">
        <f t="shared" si="213"/>
        <v>2420</v>
      </c>
      <c r="AJ34" s="26">
        <f t="shared" ref="AJ34:AS34" si="234">AI34</f>
        <v>2420</v>
      </c>
      <c r="AK34" s="26">
        <f t="shared" si="234"/>
        <v>2420</v>
      </c>
      <c r="AL34" s="26">
        <f t="shared" si="234"/>
        <v>2420</v>
      </c>
      <c r="AM34" s="26">
        <f t="shared" si="234"/>
        <v>2420</v>
      </c>
      <c r="AN34" s="26">
        <f t="shared" si="234"/>
        <v>2420</v>
      </c>
      <c r="AO34" s="26">
        <f t="shared" si="234"/>
        <v>2420</v>
      </c>
      <c r="AP34" s="26">
        <f t="shared" si="234"/>
        <v>2420</v>
      </c>
      <c r="AQ34" s="26">
        <f t="shared" si="234"/>
        <v>2420</v>
      </c>
      <c r="AR34" s="26">
        <f t="shared" si="234"/>
        <v>2420</v>
      </c>
      <c r="AS34" s="26">
        <f t="shared" si="234"/>
        <v>2420</v>
      </c>
      <c r="AT34" s="19">
        <v>1.1000000000000001</v>
      </c>
      <c r="AU34" s="26">
        <f t="shared" ref="AU34:AU37" si="235">AS34*AT34</f>
        <v>2662</v>
      </c>
      <c r="AV34" s="26">
        <f t="shared" ref="AV34:BF36" si="236">AU34</f>
        <v>2662</v>
      </c>
      <c r="AW34" s="26">
        <f t="shared" si="236"/>
        <v>2662</v>
      </c>
      <c r="AX34" s="26">
        <f t="shared" si="236"/>
        <v>2662</v>
      </c>
      <c r="AY34" s="26">
        <f t="shared" si="236"/>
        <v>2662</v>
      </c>
      <c r="AZ34" s="26">
        <f t="shared" si="236"/>
        <v>2662</v>
      </c>
      <c r="BA34" s="26">
        <f t="shared" si="236"/>
        <v>2662</v>
      </c>
      <c r="BB34" s="26">
        <f t="shared" si="236"/>
        <v>2662</v>
      </c>
      <c r="BC34" s="26">
        <f t="shared" si="236"/>
        <v>2662</v>
      </c>
      <c r="BD34" s="26">
        <f t="shared" si="236"/>
        <v>2662</v>
      </c>
      <c r="BE34" s="26">
        <f t="shared" si="236"/>
        <v>2662</v>
      </c>
      <c r="BF34" s="26">
        <f t="shared" si="236"/>
        <v>2662</v>
      </c>
      <c r="BG34" s="19">
        <v>1.1000000000000001</v>
      </c>
      <c r="BH34" s="26">
        <f t="shared" ref="BH34:BH37" si="237">BF34*BG34</f>
        <v>2928.2000000000003</v>
      </c>
      <c r="BI34" s="26">
        <f t="shared" ref="BI34:BS34" si="238">BH34</f>
        <v>2928.2000000000003</v>
      </c>
      <c r="BJ34" s="26">
        <f t="shared" si="238"/>
        <v>2928.2000000000003</v>
      </c>
      <c r="BK34" s="26">
        <f t="shared" si="238"/>
        <v>2928.2000000000003</v>
      </c>
      <c r="BL34" s="26">
        <f t="shared" si="238"/>
        <v>2928.2000000000003</v>
      </c>
      <c r="BM34" s="26">
        <f t="shared" si="238"/>
        <v>2928.2000000000003</v>
      </c>
      <c r="BN34" s="26">
        <f t="shared" si="238"/>
        <v>2928.2000000000003</v>
      </c>
      <c r="BO34" s="26">
        <f t="shared" si="238"/>
        <v>2928.2000000000003</v>
      </c>
      <c r="BP34" s="26">
        <f t="shared" si="238"/>
        <v>2928.2000000000003</v>
      </c>
      <c r="BQ34" s="26">
        <f t="shared" si="238"/>
        <v>2928.2000000000003</v>
      </c>
      <c r="BR34" s="26">
        <f t="shared" si="238"/>
        <v>2928.2000000000003</v>
      </c>
      <c r="BS34" s="26">
        <f t="shared" si="238"/>
        <v>2928.2000000000003</v>
      </c>
      <c r="BT34" s="19">
        <v>1.1000000000000001</v>
      </c>
      <c r="BU34" s="26">
        <f t="shared" ref="BU34" si="239">BS34*BT34</f>
        <v>3221.0200000000004</v>
      </c>
      <c r="BV34" s="26">
        <f t="shared" ref="BV34:CE34" si="240">BU34</f>
        <v>3221.0200000000004</v>
      </c>
      <c r="BW34" s="26">
        <f t="shared" si="240"/>
        <v>3221.0200000000004</v>
      </c>
      <c r="BX34" s="26">
        <f t="shared" si="240"/>
        <v>3221.0200000000004</v>
      </c>
      <c r="BY34" s="26">
        <f t="shared" si="240"/>
        <v>3221.0200000000004</v>
      </c>
      <c r="BZ34" s="26">
        <f t="shared" si="240"/>
        <v>3221.0200000000004</v>
      </c>
      <c r="CA34" s="26">
        <f t="shared" si="240"/>
        <v>3221.0200000000004</v>
      </c>
      <c r="CB34" s="26">
        <f t="shared" si="240"/>
        <v>3221.0200000000004</v>
      </c>
      <c r="CC34" s="26">
        <f t="shared" si="240"/>
        <v>3221.0200000000004</v>
      </c>
      <c r="CD34" s="26">
        <f t="shared" si="240"/>
        <v>3221.0200000000004</v>
      </c>
      <c r="CE34" s="26">
        <f t="shared" si="240"/>
        <v>3221.0200000000004</v>
      </c>
      <c r="CF34" s="26">
        <f>CE34</f>
        <v>3221.0200000000004</v>
      </c>
      <c r="CG34" s="311">
        <v>1</v>
      </c>
      <c r="CH34" s="302">
        <f>CF34*CG34</f>
        <v>3221.0200000000004</v>
      </c>
      <c r="CI34" s="302">
        <f t="shared" ref="CI34:CS34" si="241">CH34</f>
        <v>3221.0200000000004</v>
      </c>
      <c r="CJ34" s="302">
        <f t="shared" si="241"/>
        <v>3221.0200000000004</v>
      </c>
      <c r="CK34" s="302">
        <f t="shared" si="241"/>
        <v>3221.0200000000004</v>
      </c>
      <c r="CL34" s="302">
        <f t="shared" si="241"/>
        <v>3221.0200000000004</v>
      </c>
      <c r="CM34" s="302">
        <f t="shared" si="241"/>
        <v>3221.0200000000004</v>
      </c>
      <c r="CN34" s="302">
        <f t="shared" si="241"/>
        <v>3221.0200000000004</v>
      </c>
      <c r="CO34" s="302">
        <f t="shared" si="241"/>
        <v>3221.0200000000004</v>
      </c>
      <c r="CP34" s="302">
        <f t="shared" si="241"/>
        <v>3221.0200000000004</v>
      </c>
      <c r="CQ34" s="302">
        <f t="shared" si="241"/>
        <v>3221.0200000000004</v>
      </c>
      <c r="CR34" s="302">
        <f t="shared" si="241"/>
        <v>3221.0200000000004</v>
      </c>
      <c r="CS34" s="302">
        <f t="shared" si="241"/>
        <v>3221.0200000000004</v>
      </c>
      <c r="CT34" s="311">
        <v>1</v>
      </c>
      <c r="CU34" s="302">
        <f>CS34*CT34</f>
        <v>3221.0200000000004</v>
      </c>
      <c r="CV34" s="302">
        <f t="shared" ref="CV34:DF34" si="242">CU34</f>
        <v>3221.0200000000004</v>
      </c>
      <c r="CW34" s="302">
        <f t="shared" si="242"/>
        <v>3221.0200000000004</v>
      </c>
      <c r="CX34" s="302">
        <f t="shared" si="242"/>
        <v>3221.0200000000004</v>
      </c>
      <c r="CY34" s="302">
        <f t="shared" si="242"/>
        <v>3221.0200000000004</v>
      </c>
      <c r="CZ34" s="302">
        <f t="shared" si="242"/>
        <v>3221.0200000000004</v>
      </c>
      <c r="DA34" s="302">
        <f t="shared" si="242"/>
        <v>3221.0200000000004</v>
      </c>
      <c r="DB34" s="302">
        <f t="shared" si="242"/>
        <v>3221.0200000000004</v>
      </c>
      <c r="DC34" s="302">
        <f t="shared" si="242"/>
        <v>3221.0200000000004</v>
      </c>
      <c r="DD34" s="302">
        <f t="shared" si="242"/>
        <v>3221.0200000000004</v>
      </c>
      <c r="DE34" s="302">
        <f t="shared" si="242"/>
        <v>3221.0200000000004</v>
      </c>
      <c r="DF34" s="302">
        <f t="shared" si="242"/>
        <v>3221.0200000000004</v>
      </c>
    </row>
    <row r="35" spans="1:110" ht="15" thickBot="1">
      <c r="A35" s="19" t="s">
        <v>40</v>
      </c>
      <c r="B35" s="5" t="s">
        <v>41</v>
      </c>
      <c r="D35" s="42">
        <v>0</v>
      </c>
      <c r="E35" s="42">
        <v>0</v>
      </c>
      <c r="F35" s="42">
        <v>3000</v>
      </c>
      <c r="G35" s="42">
        <f t="shared" ref="G35:S35" si="243">F35</f>
        <v>3000</v>
      </c>
      <c r="H35" s="42">
        <f t="shared" si="243"/>
        <v>3000</v>
      </c>
      <c r="I35" s="42">
        <f t="shared" si="243"/>
        <v>3000</v>
      </c>
      <c r="J35" s="42">
        <f t="shared" si="243"/>
        <v>3000</v>
      </c>
      <c r="K35" s="42">
        <f t="shared" si="243"/>
        <v>3000</v>
      </c>
      <c r="L35" s="42">
        <f t="shared" si="243"/>
        <v>3000</v>
      </c>
      <c r="M35" s="42">
        <f t="shared" si="243"/>
        <v>3000</v>
      </c>
      <c r="N35" s="42">
        <f t="shared" si="243"/>
        <v>3000</v>
      </c>
      <c r="O35" s="42">
        <f t="shared" si="243"/>
        <v>3000</v>
      </c>
      <c r="P35" s="42">
        <f t="shared" si="243"/>
        <v>3000</v>
      </c>
      <c r="Q35" s="42">
        <f t="shared" si="243"/>
        <v>3000</v>
      </c>
      <c r="R35" s="42">
        <f t="shared" si="243"/>
        <v>3000</v>
      </c>
      <c r="S35" s="42">
        <f t="shared" si="243"/>
        <v>3000</v>
      </c>
      <c r="T35" s="19">
        <v>1.1000000000000001</v>
      </c>
      <c r="U35" s="26">
        <f t="shared" ref="U35:U37" si="244">S35*T35</f>
        <v>3300.0000000000005</v>
      </c>
      <c r="V35" s="26">
        <f t="shared" ref="V35:AF35" si="245">U35</f>
        <v>3300.0000000000005</v>
      </c>
      <c r="W35" s="26">
        <f t="shared" si="245"/>
        <v>3300.0000000000005</v>
      </c>
      <c r="X35" s="26">
        <f t="shared" si="245"/>
        <v>3300.0000000000005</v>
      </c>
      <c r="Y35" s="26">
        <f t="shared" si="245"/>
        <v>3300.0000000000005</v>
      </c>
      <c r="Z35" s="26">
        <f t="shared" si="245"/>
        <v>3300.0000000000005</v>
      </c>
      <c r="AA35" s="26">
        <f t="shared" si="245"/>
        <v>3300.0000000000005</v>
      </c>
      <c r="AB35" s="26">
        <f t="shared" si="245"/>
        <v>3300.0000000000005</v>
      </c>
      <c r="AC35" s="26">
        <f t="shared" si="245"/>
        <v>3300.0000000000005</v>
      </c>
      <c r="AD35" s="26">
        <f t="shared" si="245"/>
        <v>3300.0000000000005</v>
      </c>
      <c r="AE35" s="26">
        <f>AD35</f>
        <v>3300.0000000000005</v>
      </c>
      <c r="AF35" s="26">
        <f t="shared" si="245"/>
        <v>3300.0000000000005</v>
      </c>
      <c r="AG35" s="19">
        <v>1.1000000000000001</v>
      </c>
      <c r="AH35" s="26">
        <f t="shared" ref="AH35:AH37" si="246">AF35*AG35</f>
        <v>3630.0000000000009</v>
      </c>
      <c r="AI35" s="26">
        <f t="shared" ref="AI35:AS35" si="247">AH35</f>
        <v>3630.0000000000009</v>
      </c>
      <c r="AJ35" s="26">
        <f t="shared" si="247"/>
        <v>3630.0000000000009</v>
      </c>
      <c r="AK35" s="26">
        <f t="shared" si="247"/>
        <v>3630.0000000000009</v>
      </c>
      <c r="AL35" s="26">
        <f t="shared" si="247"/>
        <v>3630.0000000000009</v>
      </c>
      <c r="AM35" s="26">
        <f t="shared" si="247"/>
        <v>3630.0000000000009</v>
      </c>
      <c r="AN35" s="26">
        <f t="shared" si="247"/>
        <v>3630.0000000000009</v>
      </c>
      <c r="AO35" s="26">
        <f t="shared" si="247"/>
        <v>3630.0000000000009</v>
      </c>
      <c r="AP35" s="26">
        <f t="shared" si="247"/>
        <v>3630.0000000000009</v>
      </c>
      <c r="AQ35" s="26">
        <f t="shared" si="247"/>
        <v>3630.0000000000009</v>
      </c>
      <c r="AR35" s="26">
        <f t="shared" si="247"/>
        <v>3630.0000000000009</v>
      </c>
      <c r="AS35" s="26">
        <f t="shared" si="247"/>
        <v>3630.0000000000009</v>
      </c>
      <c r="AT35" s="19">
        <v>1.1000000000000001</v>
      </c>
      <c r="AU35" s="26">
        <f t="shared" si="235"/>
        <v>3993.0000000000014</v>
      </c>
      <c r="AV35" s="26">
        <f t="shared" si="236"/>
        <v>3993.0000000000014</v>
      </c>
      <c r="AW35" s="26">
        <f t="shared" si="236"/>
        <v>3993.0000000000014</v>
      </c>
      <c r="AX35" s="26">
        <f t="shared" si="236"/>
        <v>3993.0000000000014</v>
      </c>
      <c r="AY35" s="26">
        <f t="shared" si="236"/>
        <v>3993.0000000000014</v>
      </c>
      <c r="AZ35" s="26">
        <f t="shared" si="236"/>
        <v>3993.0000000000014</v>
      </c>
      <c r="BA35" s="26">
        <f t="shared" si="236"/>
        <v>3993.0000000000014</v>
      </c>
      <c r="BB35" s="26">
        <f t="shared" si="236"/>
        <v>3993.0000000000014</v>
      </c>
      <c r="BC35" s="26">
        <f t="shared" si="236"/>
        <v>3993.0000000000014</v>
      </c>
      <c r="BD35" s="26">
        <f t="shared" si="236"/>
        <v>3993.0000000000014</v>
      </c>
      <c r="BE35" s="26">
        <f t="shared" si="236"/>
        <v>3993.0000000000014</v>
      </c>
      <c r="BF35" s="26">
        <f t="shared" si="236"/>
        <v>3993.0000000000014</v>
      </c>
      <c r="BG35" s="19">
        <v>1.1000000000000001</v>
      </c>
      <c r="BH35" s="26">
        <f t="shared" si="237"/>
        <v>4392.300000000002</v>
      </c>
      <c r="BI35" s="26">
        <f t="shared" ref="BI35:BS35" si="248">BH35</f>
        <v>4392.300000000002</v>
      </c>
      <c r="BJ35" s="26">
        <f t="shared" si="248"/>
        <v>4392.300000000002</v>
      </c>
      <c r="BK35" s="26">
        <f t="shared" si="248"/>
        <v>4392.300000000002</v>
      </c>
      <c r="BL35" s="26">
        <f t="shared" si="248"/>
        <v>4392.300000000002</v>
      </c>
      <c r="BM35" s="26">
        <f t="shared" si="248"/>
        <v>4392.300000000002</v>
      </c>
      <c r="BN35" s="26">
        <f t="shared" si="248"/>
        <v>4392.300000000002</v>
      </c>
      <c r="BO35" s="26">
        <f t="shared" si="248"/>
        <v>4392.300000000002</v>
      </c>
      <c r="BP35" s="26">
        <f t="shared" si="248"/>
        <v>4392.300000000002</v>
      </c>
      <c r="BQ35" s="26">
        <f t="shared" si="248"/>
        <v>4392.300000000002</v>
      </c>
      <c r="BR35" s="26">
        <f t="shared" si="248"/>
        <v>4392.300000000002</v>
      </c>
      <c r="BS35" s="26">
        <f t="shared" si="248"/>
        <v>4392.300000000002</v>
      </c>
      <c r="BT35" s="19">
        <v>1.1000000000000001</v>
      </c>
      <c r="BU35" s="26">
        <f>BS35*BT35</f>
        <v>4831.5300000000025</v>
      </c>
      <c r="BV35" s="26">
        <f t="shared" ref="BV35:CF35" si="249">BU35</f>
        <v>4831.5300000000025</v>
      </c>
      <c r="BW35" s="26">
        <f t="shared" si="249"/>
        <v>4831.5300000000025</v>
      </c>
      <c r="BX35" s="26">
        <f t="shared" si="249"/>
        <v>4831.5300000000025</v>
      </c>
      <c r="BY35" s="26">
        <f t="shared" si="249"/>
        <v>4831.5300000000025</v>
      </c>
      <c r="BZ35" s="26">
        <f t="shared" si="249"/>
        <v>4831.5300000000025</v>
      </c>
      <c r="CA35" s="26">
        <f t="shared" si="249"/>
        <v>4831.5300000000025</v>
      </c>
      <c r="CB35" s="26">
        <f t="shared" si="249"/>
        <v>4831.5300000000025</v>
      </c>
      <c r="CC35" s="26">
        <f t="shared" si="249"/>
        <v>4831.5300000000025</v>
      </c>
      <c r="CD35" s="26">
        <f t="shared" si="249"/>
        <v>4831.5300000000025</v>
      </c>
      <c r="CE35" s="26">
        <f t="shared" si="249"/>
        <v>4831.5300000000025</v>
      </c>
      <c r="CF35" s="26">
        <f t="shared" si="249"/>
        <v>4831.5300000000025</v>
      </c>
      <c r="CG35" s="311">
        <v>1</v>
      </c>
      <c r="CH35" s="302">
        <f>CF35*CG35</f>
        <v>4831.5300000000025</v>
      </c>
      <c r="CI35" s="302">
        <f t="shared" ref="CI35:CS35" si="250">CH35</f>
        <v>4831.5300000000025</v>
      </c>
      <c r="CJ35" s="302">
        <f t="shared" si="250"/>
        <v>4831.5300000000025</v>
      </c>
      <c r="CK35" s="302">
        <f t="shared" si="250"/>
        <v>4831.5300000000025</v>
      </c>
      <c r="CL35" s="302">
        <f t="shared" si="250"/>
        <v>4831.5300000000025</v>
      </c>
      <c r="CM35" s="302">
        <f t="shared" si="250"/>
        <v>4831.5300000000025</v>
      </c>
      <c r="CN35" s="302">
        <f t="shared" si="250"/>
        <v>4831.5300000000025</v>
      </c>
      <c r="CO35" s="302">
        <f t="shared" si="250"/>
        <v>4831.5300000000025</v>
      </c>
      <c r="CP35" s="302">
        <f t="shared" si="250"/>
        <v>4831.5300000000025</v>
      </c>
      <c r="CQ35" s="302">
        <f t="shared" si="250"/>
        <v>4831.5300000000025</v>
      </c>
      <c r="CR35" s="302">
        <f t="shared" si="250"/>
        <v>4831.5300000000025</v>
      </c>
      <c r="CS35" s="302">
        <f t="shared" si="250"/>
        <v>4831.5300000000025</v>
      </c>
      <c r="CT35" s="311">
        <v>1</v>
      </c>
      <c r="CU35" s="302">
        <f>CS35*CT35</f>
        <v>4831.5300000000025</v>
      </c>
      <c r="CV35" s="302">
        <f t="shared" ref="CV35:DF35" si="251">CU35</f>
        <v>4831.5300000000025</v>
      </c>
      <c r="CW35" s="302">
        <f t="shared" si="251"/>
        <v>4831.5300000000025</v>
      </c>
      <c r="CX35" s="302">
        <f t="shared" si="251"/>
        <v>4831.5300000000025</v>
      </c>
      <c r="CY35" s="302">
        <f t="shared" si="251"/>
        <v>4831.5300000000025</v>
      </c>
      <c r="CZ35" s="302">
        <f t="shared" si="251"/>
        <v>4831.5300000000025</v>
      </c>
      <c r="DA35" s="302">
        <f t="shared" si="251"/>
        <v>4831.5300000000025</v>
      </c>
      <c r="DB35" s="302">
        <f t="shared" si="251"/>
        <v>4831.5300000000025</v>
      </c>
      <c r="DC35" s="302">
        <f t="shared" si="251"/>
        <v>4831.5300000000025</v>
      </c>
      <c r="DD35" s="302">
        <f t="shared" si="251"/>
        <v>4831.5300000000025</v>
      </c>
      <c r="DE35" s="302">
        <f t="shared" si="251"/>
        <v>4831.5300000000025</v>
      </c>
      <c r="DF35" s="302">
        <f t="shared" si="251"/>
        <v>4831.5300000000025</v>
      </c>
    </row>
    <row r="36" spans="1:110" ht="15" thickBot="1">
      <c r="A36" s="19" t="s">
        <v>42</v>
      </c>
      <c r="B36" s="5" t="s">
        <v>43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19">
        <v>1.1000000000000001</v>
      </c>
      <c r="U36" s="26">
        <f t="shared" si="244"/>
        <v>0</v>
      </c>
      <c r="V36" s="26">
        <f t="shared" ref="V36:AF36" si="252">U36</f>
        <v>0</v>
      </c>
      <c r="W36" s="26">
        <f t="shared" si="252"/>
        <v>0</v>
      </c>
      <c r="X36" s="26">
        <f t="shared" si="252"/>
        <v>0</v>
      </c>
      <c r="Y36" s="26">
        <f t="shared" si="252"/>
        <v>0</v>
      </c>
      <c r="Z36" s="26">
        <f t="shared" si="252"/>
        <v>0</v>
      </c>
      <c r="AA36" s="26">
        <f t="shared" si="252"/>
        <v>0</v>
      </c>
      <c r="AB36" s="26">
        <f t="shared" si="252"/>
        <v>0</v>
      </c>
      <c r="AC36" s="26">
        <f t="shared" si="252"/>
        <v>0</v>
      </c>
      <c r="AD36" s="26">
        <f t="shared" si="252"/>
        <v>0</v>
      </c>
      <c r="AE36" s="26">
        <f t="shared" si="252"/>
        <v>0</v>
      </c>
      <c r="AF36" s="26">
        <f t="shared" si="252"/>
        <v>0</v>
      </c>
      <c r="AG36" s="19">
        <v>1.1000000000000001</v>
      </c>
      <c r="AH36" s="26">
        <f t="shared" si="246"/>
        <v>0</v>
      </c>
      <c r="AI36" s="26">
        <f t="shared" ref="AI36:AS36" si="253">AH36</f>
        <v>0</v>
      </c>
      <c r="AJ36" s="26">
        <f t="shared" si="253"/>
        <v>0</v>
      </c>
      <c r="AK36" s="26">
        <f t="shared" si="253"/>
        <v>0</v>
      </c>
      <c r="AL36" s="26">
        <f t="shared" si="253"/>
        <v>0</v>
      </c>
      <c r="AM36" s="26">
        <f t="shared" si="253"/>
        <v>0</v>
      </c>
      <c r="AN36" s="26">
        <f t="shared" si="253"/>
        <v>0</v>
      </c>
      <c r="AO36" s="26">
        <f t="shared" si="253"/>
        <v>0</v>
      </c>
      <c r="AP36" s="26">
        <f t="shared" si="253"/>
        <v>0</v>
      </c>
      <c r="AQ36" s="26">
        <f t="shared" si="253"/>
        <v>0</v>
      </c>
      <c r="AR36" s="26">
        <f t="shared" si="253"/>
        <v>0</v>
      </c>
      <c r="AS36" s="26">
        <f t="shared" si="253"/>
        <v>0</v>
      </c>
      <c r="AT36" s="19">
        <v>1.1000000000000001</v>
      </c>
      <c r="AU36" s="26">
        <f t="shared" si="235"/>
        <v>0</v>
      </c>
      <c r="AV36" s="26">
        <f t="shared" si="236"/>
        <v>0</v>
      </c>
      <c r="AW36" s="26">
        <f t="shared" si="236"/>
        <v>0</v>
      </c>
      <c r="AX36" s="26">
        <f t="shared" si="236"/>
        <v>0</v>
      </c>
      <c r="AY36" s="26">
        <f t="shared" si="236"/>
        <v>0</v>
      </c>
      <c r="AZ36" s="26">
        <f t="shared" si="236"/>
        <v>0</v>
      </c>
      <c r="BA36" s="26">
        <f t="shared" si="236"/>
        <v>0</v>
      </c>
      <c r="BB36" s="26">
        <f t="shared" si="236"/>
        <v>0</v>
      </c>
      <c r="BC36" s="26">
        <f t="shared" si="236"/>
        <v>0</v>
      </c>
      <c r="BD36" s="26">
        <f t="shared" si="236"/>
        <v>0</v>
      </c>
      <c r="BE36" s="26">
        <f t="shared" si="236"/>
        <v>0</v>
      </c>
      <c r="BF36" s="26">
        <f t="shared" si="236"/>
        <v>0</v>
      </c>
      <c r="BG36" s="19">
        <v>1.1000000000000001</v>
      </c>
      <c r="BH36" s="26">
        <f t="shared" si="237"/>
        <v>0</v>
      </c>
      <c r="BI36" s="26">
        <f t="shared" ref="BI36:BS36" si="254">BH36</f>
        <v>0</v>
      </c>
      <c r="BJ36" s="26">
        <f t="shared" si="254"/>
        <v>0</v>
      </c>
      <c r="BK36" s="26">
        <f t="shared" si="254"/>
        <v>0</v>
      </c>
      <c r="BL36" s="26">
        <f t="shared" si="254"/>
        <v>0</v>
      </c>
      <c r="BM36" s="26">
        <f t="shared" si="254"/>
        <v>0</v>
      </c>
      <c r="BN36" s="26">
        <f t="shared" si="254"/>
        <v>0</v>
      </c>
      <c r="BO36" s="26">
        <f t="shared" si="254"/>
        <v>0</v>
      </c>
      <c r="BP36" s="26">
        <f t="shared" si="254"/>
        <v>0</v>
      </c>
      <c r="BQ36" s="26">
        <f t="shared" si="254"/>
        <v>0</v>
      </c>
      <c r="BR36" s="26">
        <f t="shared" si="254"/>
        <v>0</v>
      </c>
      <c r="BS36" s="26">
        <f t="shared" si="254"/>
        <v>0</v>
      </c>
      <c r="BT36" s="19">
        <v>1.1000000000000001</v>
      </c>
      <c r="BU36" s="26">
        <f>BS36*BT36</f>
        <v>0</v>
      </c>
      <c r="BV36" s="26">
        <f t="shared" ref="BV36:CF36" si="255">BU36</f>
        <v>0</v>
      </c>
      <c r="BW36" s="26">
        <f t="shared" si="255"/>
        <v>0</v>
      </c>
      <c r="BX36" s="26">
        <f t="shared" si="255"/>
        <v>0</v>
      </c>
      <c r="BY36" s="26">
        <f t="shared" si="255"/>
        <v>0</v>
      </c>
      <c r="BZ36" s="26">
        <f t="shared" si="255"/>
        <v>0</v>
      </c>
      <c r="CA36" s="26">
        <f t="shared" si="255"/>
        <v>0</v>
      </c>
      <c r="CB36" s="26">
        <f t="shared" si="255"/>
        <v>0</v>
      </c>
      <c r="CC36" s="26">
        <f t="shared" si="255"/>
        <v>0</v>
      </c>
      <c r="CD36" s="26">
        <f t="shared" si="255"/>
        <v>0</v>
      </c>
      <c r="CE36" s="26">
        <f t="shared" si="255"/>
        <v>0</v>
      </c>
      <c r="CF36" s="26">
        <f t="shared" si="255"/>
        <v>0</v>
      </c>
      <c r="CG36" s="311">
        <v>1.1000000000000001</v>
      </c>
      <c r="CH36" s="302">
        <f>CF36*CG36</f>
        <v>0</v>
      </c>
      <c r="CI36" s="302">
        <f t="shared" ref="CI36:CS36" si="256">CH36</f>
        <v>0</v>
      </c>
      <c r="CJ36" s="302">
        <f t="shared" si="256"/>
        <v>0</v>
      </c>
      <c r="CK36" s="302">
        <f t="shared" si="256"/>
        <v>0</v>
      </c>
      <c r="CL36" s="302">
        <f t="shared" si="256"/>
        <v>0</v>
      </c>
      <c r="CM36" s="302">
        <f t="shared" si="256"/>
        <v>0</v>
      </c>
      <c r="CN36" s="302">
        <f t="shared" si="256"/>
        <v>0</v>
      </c>
      <c r="CO36" s="302">
        <f t="shared" si="256"/>
        <v>0</v>
      </c>
      <c r="CP36" s="302">
        <f t="shared" si="256"/>
        <v>0</v>
      </c>
      <c r="CQ36" s="302">
        <f t="shared" si="256"/>
        <v>0</v>
      </c>
      <c r="CR36" s="302">
        <f t="shared" si="256"/>
        <v>0</v>
      </c>
      <c r="CS36" s="302">
        <f t="shared" si="256"/>
        <v>0</v>
      </c>
      <c r="CT36" s="311">
        <v>1.1000000000000001</v>
      </c>
      <c r="CU36" s="302">
        <f>CS36*CT36</f>
        <v>0</v>
      </c>
      <c r="CV36" s="302">
        <f t="shared" ref="CV36:DF36" si="257">CU36</f>
        <v>0</v>
      </c>
      <c r="CW36" s="302">
        <f t="shared" si="257"/>
        <v>0</v>
      </c>
      <c r="CX36" s="302">
        <f t="shared" si="257"/>
        <v>0</v>
      </c>
      <c r="CY36" s="302">
        <f t="shared" si="257"/>
        <v>0</v>
      </c>
      <c r="CZ36" s="302">
        <f t="shared" si="257"/>
        <v>0</v>
      </c>
      <c r="DA36" s="302">
        <f t="shared" si="257"/>
        <v>0</v>
      </c>
      <c r="DB36" s="302">
        <f t="shared" si="257"/>
        <v>0</v>
      </c>
      <c r="DC36" s="302">
        <f t="shared" si="257"/>
        <v>0</v>
      </c>
      <c r="DD36" s="302">
        <f t="shared" si="257"/>
        <v>0</v>
      </c>
      <c r="DE36" s="302">
        <f t="shared" si="257"/>
        <v>0</v>
      </c>
      <c r="DF36" s="302">
        <f t="shared" si="257"/>
        <v>0</v>
      </c>
    </row>
    <row r="37" spans="1:110" ht="15" thickBot="1">
      <c r="A37" s="19" t="s">
        <v>44</v>
      </c>
      <c r="B37" s="5" t="s">
        <v>45</v>
      </c>
      <c r="D37" s="42">
        <v>0</v>
      </c>
      <c r="E37" s="42">
        <v>0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19">
        <v>1.1000000000000001</v>
      </c>
      <c r="U37" s="26">
        <f t="shared" si="244"/>
        <v>0</v>
      </c>
      <c r="V37" s="26">
        <f t="shared" ref="V37:AF39" si="258">U37</f>
        <v>0</v>
      </c>
      <c r="W37" s="26">
        <f t="shared" si="258"/>
        <v>0</v>
      </c>
      <c r="X37" s="26">
        <f t="shared" si="258"/>
        <v>0</v>
      </c>
      <c r="Y37" s="26">
        <f t="shared" si="258"/>
        <v>0</v>
      </c>
      <c r="Z37" s="26">
        <f t="shared" si="258"/>
        <v>0</v>
      </c>
      <c r="AA37" s="26">
        <f t="shared" si="258"/>
        <v>0</v>
      </c>
      <c r="AB37" s="26">
        <f t="shared" si="258"/>
        <v>0</v>
      </c>
      <c r="AC37" s="26">
        <f t="shared" si="258"/>
        <v>0</v>
      </c>
      <c r="AD37" s="26">
        <f t="shared" si="258"/>
        <v>0</v>
      </c>
      <c r="AE37" s="26">
        <f>AD37</f>
        <v>0</v>
      </c>
      <c r="AF37" s="26">
        <f t="shared" si="258"/>
        <v>0</v>
      </c>
      <c r="AG37" s="19">
        <v>1.1000000000000001</v>
      </c>
      <c r="AH37" s="26">
        <f t="shared" si="246"/>
        <v>0</v>
      </c>
      <c r="AI37" s="26">
        <f t="shared" ref="AI37:AS47" si="259">AH37</f>
        <v>0</v>
      </c>
      <c r="AJ37" s="26">
        <f t="shared" ref="AJ37:AS37" si="260">AI37</f>
        <v>0</v>
      </c>
      <c r="AK37" s="26">
        <f t="shared" si="260"/>
        <v>0</v>
      </c>
      <c r="AL37" s="26">
        <f t="shared" si="260"/>
        <v>0</v>
      </c>
      <c r="AM37" s="26">
        <f t="shared" si="260"/>
        <v>0</v>
      </c>
      <c r="AN37" s="26">
        <f t="shared" si="260"/>
        <v>0</v>
      </c>
      <c r="AO37" s="26">
        <f t="shared" si="260"/>
        <v>0</v>
      </c>
      <c r="AP37" s="26">
        <f t="shared" si="260"/>
        <v>0</v>
      </c>
      <c r="AQ37" s="26">
        <f t="shared" si="260"/>
        <v>0</v>
      </c>
      <c r="AR37" s="26">
        <f t="shared" si="260"/>
        <v>0</v>
      </c>
      <c r="AS37" s="26">
        <f t="shared" si="260"/>
        <v>0</v>
      </c>
      <c r="AT37" s="19">
        <v>1.1000000000000001</v>
      </c>
      <c r="AU37" s="26">
        <f t="shared" si="235"/>
        <v>0</v>
      </c>
      <c r="AV37" s="26">
        <f t="shared" ref="AV37:BF37" si="261">AU37</f>
        <v>0</v>
      </c>
      <c r="AW37" s="26">
        <f t="shared" si="261"/>
        <v>0</v>
      </c>
      <c r="AX37" s="26">
        <f t="shared" si="261"/>
        <v>0</v>
      </c>
      <c r="AY37" s="26">
        <f t="shared" si="261"/>
        <v>0</v>
      </c>
      <c r="AZ37" s="26">
        <f t="shared" si="261"/>
        <v>0</v>
      </c>
      <c r="BA37" s="26">
        <f t="shared" si="261"/>
        <v>0</v>
      </c>
      <c r="BB37" s="26">
        <f t="shared" si="261"/>
        <v>0</v>
      </c>
      <c r="BC37" s="26">
        <f t="shared" si="261"/>
        <v>0</v>
      </c>
      <c r="BD37" s="26">
        <f t="shared" si="261"/>
        <v>0</v>
      </c>
      <c r="BE37" s="26">
        <f t="shared" si="261"/>
        <v>0</v>
      </c>
      <c r="BF37" s="26">
        <f t="shared" si="261"/>
        <v>0</v>
      </c>
      <c r="BG37" s="19">
        <v>1.1000000000000001</v>
      </c>
      <c r="BH37" s="26">
        <f t="shared" si="237"/>
        <v>0</v>
      </c>
      <c r="BI37" s="26">
        <f t="shared" ref="BI37:BS37" si="262">BH37</f>
        <v>0</v>
      </c>
      <c r="BJ37" s="26">
        <f t="shared" si="262"/>
        <v>0</v>
      </c>
      <c r="BK37" s="26">
        <f t="shared" si="262"/>
        <v>0</v>
      </c>
      <c r="BL37" s="26">
        <f t="shared" si="262"/>
        <v>0</v>
      </c>
      <c r="BM37" s="26">
        <f t="shared" si="262"/>
        <v>0</v>
      </c>
      <c r="BN37" s="26">
        <f t="shared" si="262"/>
        <v>0</v>
      </c>
      <c r="BO37" s="26">
        <f t="shared" si="262"/>
        <v>0</v>
      </c>
      <c r="BP37" s="26">
        <f t="shared" si="262"/>
        <v>0</v>
      </c>
      <c r="BQ37" s="26">
        <f t="shared" si="262"/>
        <v>0</v>
      </c>
      <c r="BR37" s="26">
        <f t="shared" si="262"/>
        <v>0</v>
      </c>
      <c r="BS37" s="26">
        <f t="shared" si="262"/>
        <v>0</v>
      </c>
      <c r="BT37" s="19">
        <v>1.1000000000000001</v>
      </c>
      <c r="BU37" s="26">
        <f>BS37*BT37</f>
        <v>0</v>
      </c>
      <c r="BV37" s="26">
        <f t="shared" ref="BV37:CF37" si="263">BU37</f>
        <v>0</v>
      </c>
      <c r="BW37" s="26">
        <f t="shared" si="263"/>
        <v>0</v>
      </c>
      <c r="BX37" s="26">
        <f t="shared" si="263"/>
        <v>0</v>
      </c>
      <c r="BY37" s="26">
        <f t="shared" si="263"/>
        <v>0</v>
      </c>
      <c r="BZ37" s="26">
        <f t="shared" si="263"/>
        <v>0</v>
      </c>
      <c r="CA37" s="26">
        <f t="shared" si="263"/>
        <v>0</v>
      </c>
      <c r="CB37" s="26">
        <f t="shared" si="263"/>
        <v>0</v>
      </c>
      <c r="CC37" s="26">
        <f t="shared" si="263"/>
        <v>0</v>
      </c>
      <c r="CD37" s="26">
        <f t="shared" si="263"/>
        <v>0</v>
      </c>
      <c r="CE37" s="26">
        <f t="shared" si="263"/>
        <v>0</v>
      </c>
      <c r="CF37" s="26">
        <f t="shared" si="263"/>
        <v>0</v>
      </c>
      <c r="CG37" s="311">
        <v>1.1000000000000001</v>
      </c>
      <c r="CH37" s="313">
        <f>CF37*CG37</f>
        <v>0</v>
      </c>
      <c r="CI37" s="313">
        <f t="shared" ref="CI37:CS37" si="264">CH37</f>
        <v>0</v>
      </c>
      <c r="CJ37" s="313">
        <f t="shared" si="264"/>
        <v>0</v>
      </c>
      <c r="CK37" s="313">
        <f t="shared" si="264"/>
        <v>0</v>
      </c>
      <c r="CL37" s="313">
        <f t="shared" si="264"/>
        <v>0</v>
      </c>
      <c r="CM37" s="313">
        <f t="shared" si="264"/>
        <v>0</v>
      </c>
      <c r="CN37" s="313">
        <f t="shared" si="264"/>
        <v>0</v>
      </c>
      <c r="CO37" s="313">
        <f t="shared" si="264"/>
        <v>0</v>
      </c>
      <c r="CP37" s="313">
        <f t="shared" si="264"/>
        <v>0</v>
      </c>
      <c r="CQ37" s="313">
        <f t="shared" si="264"/>
        <v>0</v>
      </c>
      <c r="CR37" s="313">
        <f t="shared" si="264"/>
        <v>0</v>
      </c>
      <c r="CS37" s="313">
        <f t="shared" si="264"/>
        <v>0</v>
      </c>
      <c r="CT37" s="311">
        <v>1.1000000000000001</v>
      </c>
      <c r="CU37" s="302">
        <f>CS37*CT37</f>
        <v>0</v>
      </c>
      <c r="CV37" s="313">
        <f t="shared" ref="CV37:DF37" si="265">CU37</f>
        <v>0</v>
      </c>
      <c r="CW37" s="313">
        <f t="shared" si="265"/>
        <v>0</v>
      </c>
      <c r="CX37" s="313">
        <f t="shared" si="265"/>
        <v>0</v>
      </c>
      <c r="CY37" s="313">
        <f t="shared" si="265"/>
        <v>0</v>
      </c>
      <c r="CZ37" s="313">
        <f t="shared" si="265"/>
        <v>0</v>
      </c>
      <c r="DA37" s="313">
        <f t="shared" si="265"/>
        <v>0</v>
      </c>
      <c r="DB37" s="313">
        <f t="shared" si="265"/>
        <v>0</v>
      </c>
      <c r="DC37" s="313">
        <f t="shared" si="265"/>
        <v>0</v>
      </c>
      <c r="DD37" s="313">
        <f t="shared" si="265"/>
        <v>0</v>
      </c>
      <c r="DE37" s="313">
        <f t="shared" si="265"/>
        <v>0</v>
      </c>
      <c r="DF37" s="313">
        <f t="shared" si="265"/>
        <v>0</v>
      </c>
    </row>
    <row r="38" spans="1:110" ht="15.75" thickBot="1">
      <c r="A38" s="16" t="s">
        <v>46</v>
      </c>
      <c r="B38" s="10" t="s">
        <v>47</v>
      </c>
      <c r="C38">
        <f>SUM(C39:C45)</f>
        <v>0</v>
      </c>
      <c r="D38" s="39">
        <f>SUM(D39:D45)</f>
        <v>9000</v>
      </c>
      <c r="E38" s="39">
        <f t="shared" ref="E38:G38" si="266">SUM(E39:E45)</f>
        <v>2480</v>
      </c>
      <c r="F38" s="39">
        <f t="shared" si="266"/>
        <v>3400</v>
      </c>
      <c r="G38" s="39">
        <f t="shared" si="266"/>
        <v>3400</v>
      </c>
      <c r="H38" s="39">
        <f>SUM(H39:H45)</f>
        <v>3400</v>
      </c>
      <c r="I38" s="39">
        <f t="shared" ref="I38:S38" si="267">SUM(I39:I45)</f>
        <v>3400</v>
      </c>
      <c r="J38" s="39">
        <f t="shared" si="267"/>
        <v>3400</v>
      </c>
      <c r="K38" s="39">
        <f t="shared" si="267"/>
        <v>3400</v>
      </c>
      <c r="L38" s="39">
        <f t="shared" si="267"/>
        <v>3400</v>
      </c>
      <c r="M38" s="39">
        <f t="shared" si="267"/>
        <v>3400</v>
      </c>
      <c r="N38" s="39">
        <f t="shared" si="267"/>
        <v>3400</v>
      </c>
      <c r="O38" s="39">
        <f t="shared" si="267"/>
        <v>3400</v>
      </c>
      <c r="P38" s="39">
        <f t="shared" si="267"/>
        <v>3400</v>
      </c>
      <c r="Q38" s="39">
        <f t="shared" si="267"/>
        <v>3400</v>
      </c>
      <c r="R38" s="39">
        <f t="shared" si="267"/>
        <v>3400</v>
      </c>
      <c r="S38" s="39">
        <f t="shared" si="267"/>
        <v>3400</v>
      </c>
      <c r="T38" s="5"/>
      <c r="U38" s="39">
        <f>SUM(U39:U45)</f>
        <v>3740</v>
      </c>
      <c r="V38" s="39">
        <f t="shared" ref="V38:AF38" si="268">SUM(V39:V45)</f>
        <v>3740</v>
      </c>
      <c r="W38" s="39">
        <f t="shared" si="268"/>
        <v>3740</v>
      </c>
      <c r="X38" s="39">
        <f t="shared" si="268"/>
        <v>3740</v>
      </c>
      <c r="Y38" s="39">
        <f t="shared" si="268"/>
        <v>3740</v>
      </c>
      <c r="Z38" s="39">
        <f t="shared" si="268"/>
        <v>3740</v>
      </c>
      <c r="AA38" s="39">
        <f t="shared" si="268"/>
        <v>3740</v>
      </c>
      <c r="AB38" s="39">
        <f t="shared" si="268"/>
        <v>3740</v>
      </c>
      <c r="AC38" s="39">
        <f t="shared" si="268"/>
        <v>3740</v>
      </c>
      <c r="AD38" s="39">
        <f t="shared" si="268"/>
        <v>3740</v>
      </c>
      <c r="AE38" s="39">
        <f t="shared" si="268"/>
        <v>3740</v>
      </c>
      <c r="AF38" s="39">
        <f t="shared" si="268"/>
        <v>3740</v>
      </c>
      <c r="AG38" s="5"/>
      <c r="AH38" s="39">
        <f>SUM(AH39:AH45)</f>
        <v>4114</v>
      </c>
      <c r="AI38" s="39">
        <f t="shared" ref="AI38:AS38" si="269">SUM(AI39:AI45)</f>
        <v>4114</v>
      </c>
      <c r="AJ38" s="39">
        <f t="shared" si="269"/>
        <v>4114</v>
      </c>
      <c r="AK38" s="39">
        <f t="shared" si="269"/>
        <v>4114</v>
      </c>
      <c r="AL38" s="39">
        <f t="shared" si="269"/>
        <v>4114</v>
      </c>
      <c r="AM38" s="39">
        <f t="shared" si="269"/>
        <v>4114</v>
      </c>
      <c r="AN38" s="39">
        <f t="shared" si="269"/>
        <v>4114</v>
      </c>
      <c r="AO38" s="39">
        <f t="shared" si="269"/>
        <v>4114</v>
      </c>
      <c r="AP38" s="39">
        <f t="shared" si="269"/>
        <v>4114</v>
      </c>
      <c r="AQ38" s="39">
        <f t="shared" si="269"/>
        <v>4114</v>
      </c>
      <c r="AR38" s="39">
        <f t="shared" si="269"/>
        <v>4114</v>
      </c>
      <c r="AS38" s="39">
        <f t="shared" si="269"/>
        <v>4114</v>
      </c>
      <c r="AT38" s="5"/>
      <c r="AU38" s="39">
        <f>SUM(AU39:AU45)</f>
        <v>4525.4000000000005</v>
      </c>
      <c r="AV38" s="39">
        <f t="shared" ref="AV38" si="270">SUM(AV39:AV45)</f>
        <v>4525.4000000000005</v>
      </c>
      <c r="AW38" s="39">
        <f t="shared" ref="AW38:BF38" si="271">SUM(AW39:AW45)</f>
        <v>4525.4000000000005</v>
      </c>
      <c r="AX38" s="39">
        <f t="shared" si="271"/>
        <v>4525.4000000000005</v>
      </c>
      <c r="AY38" s="39">
        <f t="shared" si="271"/>
        <v>4525.4000000000005</v>
      </c>
      <c r="AZ38" s="39">
        <f t="shared" si="271"/>
        <v>4525.4000000000005</v>
      </c>
      <c r="BA38" s="39">
        <f t="shared" si="271"/>
        <v>4525.4000000000005</v>
      </c>
      <c r="BB38" s="39">
        <f t="shared" si="271"/>
        <v>4525.4000000000005</v>
      </c>
      <c r="BC38" s="39">
        <f t="shared" si="271"/>
        <v>4525.4000000000005</v>
      </c>
      <c r="BD38" s="39">
        <f t="shared" si="271"/>
        <v>4525.4000000000005</v>
      </c>
      <c r="BE38" s="39">
        <f t="shared" si="271"/>
        <v>4525.4000000000005</v>
      </c>
      <c r="BF38" s="39">
        <f t="shared" si="271"/>
        <v>4525.4000000000005</v>
      </c>
      <c r="BG38" s="5"/>
      <c r="BH38" s="39">
        <f>SUM(BH39:BH45)</f>
        <v>4977.9400000000014</v>
      </c>
      <c r="BI38" s="39">
        <f t="shared" ref="BI38" si="272">SUM(BI39:BI45)</f>
        <v>4977.9400000000014</v>
      </c>
      <c r="BJ38" s="39">
        <f t="shared" ref="BJ38:BS38" si="273">SUM(BJ39:BJ45)</f>
        <v>4977.9400000000014</v>
      </c>
      <c r="BK38" s="39">
        <f t="shared" si="273"/>
        <v>4977.9400000000014</v>
      </c>
      <c r="BL38" s="39">
        <f t="shared" si="273"/>
        <v>4977.9400000000014</v>
      </c>
      <c r="BM38" s="39">
        <f t="shared" si="273"/>
        <v>4977.9400000000014</v>
      </c>
      <c r="BN38" s="39">
        <f t="shared" si="273"/>
        <v>4977.9400000000014</v>
      </c>
      <c r="BO38" s="39">
        <f t="shared" si="273"/>
        <v>4977.9400000000014</v>
      </c>
      <c r="BP38" s="39">
        <f t="shared" si="273"/>
        <v>4977.9400000000014</v>
      </c>
      <c r="BQ38" s="39">
        <f t="shared" si="273"/>
        <v>4977.9400000000014</v>
      </c>
      <c r="BR38" s="39">
        <f t="shared" si="273"/>
        <v>4977.9400000000014</v>
      </c>
      <c r="BS38" s="39">
        <f t="shared" si="273"/>
        <v>4977.9400000000014</v>
      </c>
      <c r="BT38" s="5"/>
      <c r="BU38" s="39">
        <f>SUM(BU39:BU45)</f>
        <v>5475.7340000000022</v>
      </c>
      <c r="BV38" s="39">
        <f t="shared" ref="BV38" si="274">SUM(BV39:BV45)</f>
        <v>5475.7340000000022</v>
      </c>
      <c r="BW38" s="39">
        <f t="shared" ref="BW38:CF38" si="275">SUM(BW39:BW45)</f>
        <v>5475.7340000000022</v>
      </c>
      <c r="BX38" s="39">
        <f t="shared" si="275"/>
        <v>5475.7340000000022</v>
      </c>
      <c r="BY38" s="39">
        <f t="shared" si="275"/>
        <v>5475.7340000000022</v>
      </c>
      <c r="BZ38" s="39">
        <f t="shared" si="275"/>
        <v>5475.7340000000022</v>
      </c>
      <c r="CA38" s="39">
        <f t="shared" si="275"/>
        <v>5475.7340000000022</v>
      </c>
      <c r="CB38" s="39">
        <f t="shared" si="275"/>
        <v>5475.7340000000022</v>
      </c>
      <c r="CC38" s="39">
        <f t="shared" si="275"/>
        <v>5475.7340000000022</v>
      </c>
      <c r="CD38" s="39">
        <f t="shared" si="275"/>
        <v>5475.7340000000022</v>
      </c>
      <c r="CE38" s="39">
        <f t="shared" si="275"/>
        <v>5475.7340000000022</v>
      </c>
      <c r="CF38" s="39">
        <f t="shared" si="275"/>
        <v>5475.7340000000022</v>
      </c>
      <c r="CH38" s="332">
        <f>SUM(CH39:CH45)</f>
        <v>6023.3074000000024</v>
      </c>
      <c r="CI38" s="332">
        <f t="shared" ref="CI38:CS38" si="276">CH38</f>
        <v>6023.3074000000024</v>
      </c>
      <c r="CJ38" s="332">
        <f t="shared" si="276"/>
        <v>6023.3074000000024</v>
      </c>
      <c r="CK38" s="332">
        <f t="shared" si="276"/>
        <v>6023.3074000000024</v>
      </c>
      <c r="CL38" s="332">
        <f t="shared" si="276"/>
        <v>6023.3074000000024</v>
      </c>
      <c r="CM38" s="332">
        <f t="shared" si="276"/>
        <v>6023.3074000000024</v>
      </c>
      <c r="CN38" s="332">
        <f t="shared" si="276"/>
        <v>6023.3074000000024</v>
      </c>
      <c r="CO38" s="332">
        <f t="shared" si="276"/>
        <v>6023.3074000000024</v>
      </c>
      <c r="CP38" s="332">
        <f t="shared" si="276"/>
        <v>6023.3074000000024</v>
      </c>
      <c r="CQ38" s="332">
        <f t="shared" si="276"/>
        <v>6023.3074000000024</v>
      </c>
      <c r="CR38" s="332">
        <f t="shared" si="276"/>
        <v>6023.3074000000024</v>
      </c>
      <c r="CS38" s="332">
        <f t="shared" si="276"/>
        <v>6023.3074000000024</v>
      </c>
      <c r="CT38" s="50"/>
      <c r="CU38" s="331">
        <f>SUM(CU39:CU45)</f>
        <v>6625.6381400000037</v>
      </c>
      <c r="CV38" s="331">
        <f t="shared" ref="CV38:DF38" si="277">SUM(CV39:CV45)</f>
        <v>6625.6381400000037</v>
      </c>
      <c r="CW38" s="331">
        <f t="shared" si="277"/>
        <v>6625.6381400000037</v>
      </c>
      <c r="CX38" s="331">
        <f t="shared" si="277"/>
        <v>6625.6381400000037</v>
      </c>
      <c r="CY38" s="331">
        <f t="shared" si="277"/>
        <v>6625.6381400000037</v>
      </c>
      <c r="CZ38" s="331">
        <f t="shared" si="277"/>
        <v>6625.6381400000037</v>
      </c>
      <c r="DA38" s="331">
        <f t="shared" si="277"/>
        <v>6625.6381400000037</v>
      </c>
      <c r="DB38" s="331">
        <f t="shared" si="277"/>
        <v>6625.6381400000037</v>
      </c>
      <c r="DC38" s="331">
        <f t="shared" si="277"/>
        <v>6625.6381400000037</v>
      </c>
      <c r="DD38" s="331">
        <f t="shared" si="277"/>
        <v>6625.6381400000037</v>
      </c>
      <c r="DE38" s="331">
        <f t="shared" si="277"/>
        <v>6625.6381400000037</v>
      </c>
      <c r="DF38" s="331">
        <f t="shared" si="277"/>
        <v>6625.6381400000037</v>
      </c>
    </row>
    <row r="39" spans="1:110" ht="15" thickBot="1">
      <c r="A39" s="19" t="s">
        <v>48</v>
      </c>
      <c r="B39" s="5" t="s">
        <v>49</v>
      </c>
      <c r="D39" s="26">
        <v>0</v>
      </c>
      <c r="E39" s="26">
        <v>0</v>
      </c>
      <c r="F39" s="26">
        <v>100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100</v>
      </c>
      <c r="N39" s="26">
        <v>100</v>
      </c>
      <c r="O39" s="26">
        <v>100</v>
      </c>
      <c r="P39" s="26">
        <v>100</v>
      </c>
      <c r="Q39" s="26">
        <v>100</v>
      </c>
      <c r="R39" s="26">
        <v>100</v>
      </c>
      <c r="S39" s="26">
        <v>100</v>
      </c>
      <c r="T39" s="19">
        <v>1.1000000000000001</v>
      </c>
      <c r="U39" s="26">
        <f t="shared" ref="U39" si="278">S39*T39</f>
        <v>110.00000000000001</v>
      </c>
      <c r="V39" s="26">
        <f t="shared" si="258"/>
        <v>110.00000000000001</v>
      </c>
      <c r="W39" s="26">
        <f t="shared" ref="W39:AF39" si="279">V39</f>
        <v>110.00000000000001</v>
      </c>
      <c r="X39" s="26">
        <f t="shared" si="279"/>
        <v>110.00000000000001</v>
      </c>
      <c r="Y39" s="26">
        <f t="shared" si="279"/>
        <v>110.00000000000001</v>
      </c>
      <c r="Z39" s="26">
        <f t="shared" si="279"/>
        <v>110.00000000000001</v>
      </c>
      <c r="AA39" s="26">
        <f t="shared" si="279"/>
        <v>110.00000000000001</v>
      </c>
      <c r="AB39" s="26">
        <f t="shared" si="279"/>
        <v>110.00000000000001</v>
      </c>
      <c r="AC39" s="26">
        <f t="shared" si="279"/>
        <v>110.00000000000001</v>
      </c>
      <c r="AD39" s="26">
        <f t="shared" si="279"/>
        <v>110.00000000000001</v>
      </c>
      <c r="AE39" s="26">
        <f t="shared" si="279"/>
        <v>110.00000000000001</v>
      </c>
      <c r="AF39" s="26">
        <f t="shared" si="279"/>
        <v>110.00000000000001</v>
      </c>
      <c r="AG39" s="19">
        <v>1.1000000000000001</v>
      </c>
      <c r="AH39" s="26">
        <f t="shared" ref="AH39" si="280">AF39*AG39</f>
        <v>121.00000000000003</v>
      </c>
      <c r="AI39" s="26">
        <f t="shared" si="259"/>
        <v>121.00000000000003</v>
      </c>
      <c r="AJ39" s="26">
        <f t="shared" si="259"/>
        <v>121.00000000000003</v>
      </c>
      <c r="AK39" s="26">
        <f t="shared" si="259"/>
        <v>121.00000000000003</v>
      </c>
      <c r="AL39" s="26">
        <f t="shared" si="259"/>
        <v>121.00000000000003</v>
      </c>
      <c r="AM39" s="26">
        <f t="shared" si="259"/>
        <v>121.00000000000003</v>
      </c>
      <c r="AN39" s="26">
        <f t="shared" si="259"/>
        <v>121.00000000000003</v>
      </c>
      <c r="AO39" s="26">
        <f t="shared" si="259"/>
        <v>121.00000000000003</v>
      </c>
      <c r="AP39" s="26">
        <f t="shared" si="259"/>
        <v>121.00000000000003</v>
      </c>
      <c r="AQ39" s="26">
        <f t="shared" si="259"/>
        <v>121.00000000000003</v>
      </c>
      <c r="AR39" s="26">
        <f t="shared" si="259"/>
        <v>121.00000000000003</v>
      </c>
      <c r="AS39" s="26">
        <f t="shared" si="259"/>
        <v>121.00000000000003</v>
      </c>
      <c r="AT39" s="19">
        <v>1.1000000000000001</v>
      </c>
      <c r="AU39" s="26">
        <f t="shared" ref="AU39:AU45" si="281">AS39*AT39</f>
        <v>133.10000000000005</v>
      </c>
      <c r="AV39" s="26">
        <f t="shared" ref="AV39:BF39" si="282">AU39</f>
        <v>133.10000000000005</v>
      </c>
      <c r="AW39" s="26">
        <f t="shared" si="282"/>
        <v>133.10000000000005</v>
      </c>
      <c r="AX39" s="26">
        <f t="shared" si="282"/>
        <v>133.10000000000005</v>
      </c>
      <c r="AY39" s="26">
        <f t="shared" si="282"/>
        <v>133.10000000000005</v>
      </c>
      <c r="AZ39" s="26">
        <f t="shared" si="282"/>
        <v>133.10000000000005</v>
      </c>
      <c r="BA39" s="26">
        <f t="shared" si="282"/>
        <v>133.10000000000005</v>
      </c>
      <c r="BB39" s="26">
        <f t="shared" si="282"/>
        <v>133.10000000000005</v>
      </c>
      <c r="BC39" s="26">
        <f t="shared" si="282"/>
        <v>133.10000000000005</v>
      </c>
      <c r="BD39" s="26">
        <f t="shared" si="282"/>
        <v>133.10000000000005</v>
      </c>
      <c r="BE39" s="26">
        <f t="shared" si="282"/>
        <v>133.10000000000005</v>
      </c>
      <c r="BF39" s="26">
        <f t="shared" si="282"/>
        <v>133.10000000000005</v>
      </c>
      <c r="BG39" s="19">
        <v>1.1000000000000001</v>
      </c>
      <c r="BH39" s="26">
        <f t="shared" ref="BH39:BH45" si="283">BF39*BG39</f>
        <v>146.41000000000008</v>
      </c>
      <c r="BI39" s="26">
        <f t="shared" ref="BI39:BS39" si="284">BH39</f>
        <v>146.41000000000008</v>
      </c>
      <c r="BJ39" s="26">
        <f t="shared" si="284"/>
        <v>146.41000000000008</v>
      </c>
      <c r="BK39" s="26">
        <f t="shared" si="284"/>
        <v>146.41000000000008</v>
      </c>
      <c r="BL39" s="26">
        <f t="shared" si="284"/>
        <v>146.41000000000008</v>
      </c>
      <c r="BM39" s="26">
        <f t="shared" si="284"/>
        <v>146.41000000000008</v>
      </c>
      <c r="BN39" s="26">
        <f t="shared" si="284"/>
        <v>146.41000000000008</v>
      </c>
      <c r="BO39" s="26">
        <f t="shared" si="284"/>
        <v>146.41000000000008</v>
      </c>
      <c r="BP39" s="26">
        <f t="shared" si="284"/>
        <v>146.41000000000008</v>
      </c>
      <c r="BQ39" s="26">
        <f t="shared" si="284"/>
        <v>146.41000000000008</v>
      </c>
      <c r="BR39" s="26">
        <f t="shared" si="284"/>
        <v>146.41000000000008</v>
      </c>
      <c r="BS39" s="26">
        <f t="shared" si="284"/>
        <v>146.41000000000008</v>
      </c>
      <c r="BT39" s="19">
        <v>1.1000000000000001</v>
      </c>
      <c r="BU39" s="26">
        <f t="shared" ref="BU39:BU45" si="285">BS39*BT39</f>
        <v>161.0510000000001</v>
      </c>
      <c r="BV39" s="26">
        <f t="shared" ref="BV39:CF39" si="286">BU39</f>
        <v>161.0510000000001</v>
      </c>
      <c r="BW39" s="26">
        <f t="shared" si="286"/>
        <v>161.0510000000001</v>
      </c>
      <c r="BX39" s="26">
        <f t="shared" si="286"/>
        <v>161.0510000000001</v>
      </c>
      <c r="BY39" s="26">
        <f t="shared" si="286"/>
        <v>161.0510000000001</v>
      </c>
      <c r="BZ39" s="26">
        <f t="shared" si="286"/>
        <v>161.0510000000001</v>
      </c>
      <c r="CA39" s="26">
        <f t="shared" si="286"/>
        <v>161.0510000000001</v>
      </c>
      <c r="CB39" s="26">
        <f t="shared" si="286"/>
        <v>161.0510000000001</v>
      </c>
      <c r="CC39" s="26">
        <f t="shared" si="286"/>
        <v>161.0510000000001</v>
      </c>
      <c r="CD39" s="26">
        <f t="shared" si="286"/>
        <v>161.0510000000001</v>
      </c>
      <c r="CE39" s="26">
        <f t="shared" si="286"/>
        <v>161.0510000000001</v>
      </c>
      <c r="CF39" s="26">
        <f t="shared" si="286"/>
        <v>161.0510000000001</v>
      </c>
      <c r="CG39" s="311">
        <v>1.1000000000000001</v>
      </c>
      <c r="CH39" s="313">
        <f t="shared" ref="CH39:CH45" si="287">CF39*CG39</f>
        <v>177.15610000000012</v>
      </c>
      <c r="CI39" s="313">
        <f t="shared" ref="CI39:CS39" si="288">CH39</f>
        <v>177.15610000000012</v>
      </c>
      <c r="CJ39" s="313">
        <f t="shared" si="288"/>
        <v>177.15610000000012</v>
      </c>
      <c r="CK39" s="313">
        <f t="shared" si="288"/>
        <v>177.15610000000012</v>
      </c>
      <c r="CL39" s="313">
        <f t="shared" si="288"/>
        <v>177.15610000000012</v>
      </c>
      <c r="CM39" s="313">
        <f t="shared" si="288"/>
        <v>177.15610000000012</v>
      </c>
      <c r="CN39" s="313">
        <f t="shared" si="288"/>
        <v>177.15610000000012</v>
      </c>
      <c r="CO39" s="313">
        <f t="shared" si="288"/>
        <v>177.15610000000012</v>
      </c>
      <c r="CP39" s="313">
        <f t="shared" si="288"/>
        <v>177.15610000000012</v>
      </c>
      <c r="CQ39" s="313">
        <f t="shared" si="288"/>
        <v>177.15610000000012</v>
      </c>
      <c r="CR39" s="313">
        <f t="shared" si="288"/>
        <v>177.15610000000012</v>
      </c>
      <c r="CS39" s="313">
        <f t="shared" si="288"/>
        <v>177.15610000000012</v>
      </c>
      <c r="CT39" s="311">
        <v>1.1000000000000001</v>
      </c>
      <c r="CU39" s="302">
        <f t="shared" ref="CU39:CU45" si="289">CS39*CT39</f>
        <v>194.87171000000015</v>
      </c>
      <c r="CV39" s="302">
        <f t="shared" ref="CV39:DF39" si="290">CU39</f>
        <v>194.87171000000015</v>
      </c>
      <c r="CW39" s="302">
        <f t="shared" si="290"/>
        <v>194.87171000000015</v>
      </c>
      <c r="CX39" s="302">
        <f t="shared" si="290"/>
        <v>194.87171000000015</v>
      </c>
      <c r="CY39" s="302">
        <f t="shared" si="290"/>
        <v>194.87171000000015</v>
      </c>
      <c r="CZ39" s="302">
        <f t="shared" si="290"/>
        <v>194.87171000000015</v>
      </c>
      <c r="DA39" s="302">
        <f t="shared" si="290"/>
        <v>194.87171000000015</v>
      </c>
      <c r="DB39" s="302">
        <f t="shared" si="290"/>
        <v>194.87171000000015</v>
      </c>
      <c r="DC39" s="302">
        <f t="shared" si="290"/>
        <v>194.87171000000015</v>
      </c>
      <c r="DD39" s="302">
        <f t="shared" si="290"/>
        <v>194.87171000000015</v>
      </c>
      <c r="DE39" s="302">
        <f t="shared" si="290"/>
        <v>194.87171000000015</v>
      </c>
      <c r="DF39" s="302">
        <f t="shared" si="290"/>
        <v>194.87171000000015</v>
      </c>
    </row>
    <row r="40" spans="1:110" ht="15" thickBot="1">
      <c r="A40" s="19" t="s">
        <v>50</v>
      </c>
      <c r="B40" s="5" t="s">
        <v>51</v>
      </c>
      <c r="D40" s="26">
        <v>0</v>
      </c>
      <c r="E40" s="26">
        <v>0</v>
      </c>
      <c r="F40" s="26">
        <v>500</v>
      </c>
      <c r="G40" s="26">
        <v>500</v>
      </c>
      <c r="H40" s="26">
        <v>500</v>
      </c>
      <c r="I40" s="26">
        <v>500</v>
      </c>
      <c r="J40" s="26">
        <v>500</v>
      </c>
      <c r="K40" s="26">
        <v>500</v>
      </c>
      <c r="L40" s="26">
        <v>500</v>
      </c>
      <c r="M40" s="26">
        <v>500</v>
      </c>
      <c r="N40" s="26">
        <v>500</v>
      </c>
      <c r="O40" s="26">
        <v>500</v>
      </c>
      <c r="P40" s="26">
        <v>500</v>
      </c>
      <c r="Q40" s="26">
        <v>500</v>
      </c>
      <c r="R40" s="26">
        <v>500</v>
      </c>
      <c r="S40" s="26">
        <v>500</v>
      </c>
      <c r="T40" s="19">
        <v>1.1000000000000001</v>
      </c>
      <c r="U40" s="26">
        <f t="shared" ref="U40:U45" si="291">S40*T40</f>
        <v>550</v>
      </c>
      <c r="V40" s="26">
        <f t="shared" ref="V40:AF40" si="292">U40</f>
        <v>550</v>
      </c>
      <c r="W40" s="26">
        <f t="shared" si="292"/>
        <v>550</v>
      </c>
      <c r="X40" s="26">
        <f t="shared" si="292"/>
        <v>550</v>
      </c>
      <c r="Y40" s="26">
        <f t="shared" si="292"/>
        <v>550</v>
      </c>
      <c r="Z40" s="26">
        <f t="shared" si="292"/>
        <v>550</v>
      </c>
      <c r="AA40" s="26">
        <f t="shared" si="292"/>
        <v>550</v>
      </c>
      <c r="AB40" s="26">
        <f t="shared" si="292"/>
        <v>550</v>
      </c>
      <c r="AC40" s="26">
        <f t="shared" si="292"/>
        <v>550</v>
      </c>
      <c r="AD40" s="26">
        <f t="shared" si="292"/>
        <v>550</v>
      </c>
      <c r="AE40" s="26">
        <f t="shared" si="292"/>
        <v>550</v>
      </c>
      <c r="AF40" s="26">
        <f t="shared" si="292"/>
        <v>550</v>
      </c>
      <c r="AG40" s="19">
        <v>1.1000000000000001</v>
      </c>
      <c r="AH40" s="26">
        <f t="shared" ref="AH40:AH45" si="293">AF40*AG40</f>
        <v>605</v>
      </c>
      <c r="AI40" s="26">
        <f t="shared" si="259"/>
        <v>605</v>
      </c>
      <c r="AJ40" s="26">
        <f t="shared" si="259"/>
        <v>605</v>
      </c>
      <c r="AK40" s="26">
        <f t="shared" si="259"/>
        <v>605</v>
      </c>
      <c r="AL40" s="26">
        <f t="shared" si="259"/>
        <v>605</v>
      </c>
      <c r="AM40" s="26">
        <f t="shared" si="259"/>
        <v>605</v>
      </c>
      <c r="AN40" s="26">
        <f t="shared" si="259"/>
        <v>605</v>
      </c>
      <c r="AO40" s="26">
        <f t="shared" si="259"/>
        <v>605</v>
      </c>
      <c r="AP40" s="26">
        <f t="shared" si="259"/>
        <v>605</v>
      </c>
      <c r="AQ40" s="26">
        <f t="shared" si="259"/>
        <v>605</v>
      </c>
      <c r="AR40" s="26">
        <f t="shared" si="259"/>
        <v>605</v>
      </c>
      <c r="AS40" s="26">
        <f t="shared" si="259"/>
        <v>605</v>
      </c>
      <c r="AT40" s="19">
        <v>1.1000000000000001</v>
      </c>
      <c r="AU40" s="26">
        <f t="shared" si="281"/>
        <v>665.5</v>
      </c>
      <c r="AV40" s="26">
        <f t="shared" ref="AV40:BF40" si="294">AU40</f>
        <v>665.5</v>
      </c>
      <c r="AW40" s="26">
        <f t="shared" si="294"/>
        <v>665.5</v>
      </c>
      <c r="AX40" s="26">
        <f t="shared" si="294"/>
        <v>665.5</v>
      </c>
      <c r="AY40" s="26">
        <f t="shared" si="294"/>
        <v>665.5</v>
      </c>
      <c r="AZ40" s="26">
        <f t="shared" si="294"/>
        <v>665.5</v>
      </c>
      <c r="BA40" s="26">
        <f t="shared" si="294"/>
        <v>665.5</v>
      </c>
      <c r="BB40" s="26">
        <f t="shared" si="294"/>
        <v>665.5</v>
      </c>
      <c r="BC40" s="26">
        <f t="shared" si="294"/>
        <v>665.5</v>
      </c>
      <c r="BD40" s="26">
        <f t="shared" si="294"/>
        <v>665.5</v>
      </c>
      <c r="BE40" s="26">
        <f t="shared" si="294"/>
        <v>665.5</v>
      </c>
      <c r="BF40" s="26">
        <f t="shared" si="294"/>
        <v>665.5</v>
      </c>
      <c r="BG40" s="19">
        <v>1.1000000000000001</v>
      </c>
      <c r="BH40" s="26">
        <f t="shared" si="283"/>
        <v>732.05000000000007</v>
      </c>
      <c r="BI40" s="26">
        <f t="shared" ref="BI40:BS40" si="295">BH40</f>
        <v>732.05000000000007</v>
      </c>
      <c r="BJ40" s="26">
        <f t="shared" si="295"/>
        <v>732.05000000000007</v>
      </c>
      <c r="BK40" s="26">
        <f t="shared" si="295"/>
        <v>732.05000000000007</v>
      </c>
      <c r="BL40" s="26">
        <f t="shared" si="295"/>
        <v>732.05000000000007</v>
      </c>
      <c r="BM40" s="26">
        <f t="shared" si="295"/>
        <v>732.05000000000007</v>
      </c>
      <c r="BN40" s="26">
        <f t="shared" si="295"/>
        <v>732.05000000000007</v>
      </c>
      <c r="BO40" s="26">
        <f t="shared" si="295"/>
        <v>732.05000000000007</v>
      </c>
      <c r="BP40" s="26">
        <f t="shared" si="295"/>
        <v>732.05000000000007</v>
      </c>
      <c r="BQ40" s="26">
        <f t="shared" si="295"/>
        <v>732.05000000000007</v>
      </c>
      <c r="BR40" s="26">
        <f t="shared" si="295"/>
        <v>732.05000000000007</v>
      </c>
      <c r="BS40" s="26">
        <f t="shared" si="295"/>
        <v>732.05000000000007</v>
      </c>
      <c r="BT40" s="19">
        <v>1.1000000000000001</v>
      </c>
      <c r="BU40" s="26">
        <f t="shared" si="285"/>
        <v>805.25500000000011</v>
      </c>
      <c r="BV40" s="26">
        <f t="shared" ref="BV40:CF40" si="296">BU40</f>
        <v>805.25500000000011</v>
      </c>
      <c r="BW40" s="26">
        <f t="shared" si="296"/>
        <v>805.25500000000011</v>
      </c>
      <c r="BX40" s="26">
        <f t="shared" si="296"/>
        <v>805.25500000000011</v>
      </c>
      <c r="BY40" s="26">
        <f t="shared" si="296"/>
        <v>805.25500000000011</v>
      </c>
      <c r="BZ40" s="26">
        <f t="shared" si="296"/>
        <v>805.25500000000011</v>
      </c>
      <c r="CA40" s="26">
        <f t="shared" si="296"/>
        <v>805.25500000000011</v>
      </c>
      <c r="CB40" s="26">
        <f t="shared" si="296"/>
        <v>805.25500000000011</v>
      </c>
      <c r="CC40" s="26">
        <f t="shared" si="296"/>
        <v>805.25500000000011</v>
      </c>
      <c r="CD40" s="26">
        <f t="shared" si="296"/>
        <v>805.25500000000011</v>
      </c>
      <c r="CE40" s="26">
        <f t="shared" si="296"/>
        <v>805.25500000000011</v>
      </c>
      <c r="CF40" s="26">
        <f t="shared" si="296"/>
        <v>805.25500000000011</v>
      </c>
      <c r="CG40" s="311">
        <v>1.1000000000000001</v>
      </c>
      <c r="CH40" s="313">
        <f t="shared" si="287"/>
        <v>885.78050000000019</v>
      </c>
      <c r="CI40" s="313">
        <f t="shared" ref="CI40:CS40" si="297">CH40</f>
        <v>885.78050000000019</v>
      </c>
      <c r="CJ40" s="313">
        <f t="shared" si="297"/>
        <v>885.78050000000019</v>
      </c>
      <c r="CK40" s="313">
        <f t="shared" si="297"/>
        <v>885.78050000000019</v>
      </c>
      <c r="CL40" s="313">
        <f t="shared" si="297"/>
        <v>885.78050000000019</v>
      </c>
      <c r="CM40" s="313">
        <f t="shared" si="297"/>
        <v>885.78050000000019</v>
      </c>
      <c r="CN40" s="313">
        <f t="shared" si="297"/>
        <v>885.78050000000019</v>
      </c>
      <c r="CO40" s="313">
        <f t="shared" si="297"/>
        <v>885.78050000000019</v>
      </c>
      <c r="CP40" s="313">
        <f t="shared" si="297"/>
        <v>885.78050000000019</v>
      </c>
      <c r="CQ40" s="313">
        <f t="shared" si="297"/>
        <v>885.78050000000019</v>
      </c>
      <c r="CR40" s="313">
        <f t="shared" si="297"/>
        <v>885.78050000000019</v>
      </c>
      <c r="CS40" s="313">
        <f t="shared" si="297"/>
        <v>885.78050000000019</v>
      </c>
      <c r="CT40" s="311">
        <v>1.1000000000000001</v>
      </c>
      <c r="CU40" s="302">
        <f t="shared" si="289"/>
        <v>974.35855000000026</v>
      </c>
      <c r="CV40" s="313">
        <f t="shared" ref="CV40:DF40" si="298">CU40</f>
        <v>974.35855000000026</v>
      </c>
      <c r="CW40" s="313">
        <f t="shared" si="298"/>
        <v>974.35855000000026</v>
      </c>
      <c r="CX40" s="313">
        <f t="shared" si="298"/>
        <v>974.35855000000026</v>
      </c>
      <c r="CY40" s="313">
        <f t="shared" si="298"/>
        <v>974.35855000000026</v>
      </c>
      <c r="CZ40" s="313">
        <f t="shared" si="298"/>
        <v>974.35855000000026</v>
      </c>
      <c r="DA40" s="313">
        <f t="shared" si="298"/>
        <v>974.35855000000026</v>
      </c>
      <c r="DB40" s="313">
        <f t="shared" si="298"/>
        <v>974.35855000000026</v>
      </c>
      <c r="DC40" s="313">
        <f t="shared" si="298"/>
        <v>974.35855000000026</v>
      </c>
      <c r="DD40" s="313">
        <f t="shared" si="298"/>
        <v>974.35855000000026</v>
      </c>
      <c r="DE40" s="313">
        <f t="shared" si="298"/>
        <v>974.35855000000026</v>
      </c>
      <c r="DF40" s="313">
        <f t="shared" si="298"/>
        <v>974.35855000000026</v>
      </c>
    </row>
    <row r="41" spans="1:110" ht="15" thickBot="1">
      <c r="A41" s="19" t="s">
        <v>52</v>
      </c>
      <c r="B41" s="5" t="s">
        <v>53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19">
        <v>1.1000000000000001</v>
      </c>
      <c r="U41" s="26">
        <f t="shared" si="291"/>
        <v>0</v>
      </c>
      <c r="V41" s="26">
        <f t="shared" ref="V41:AF41" si="299">U41</f>
        <v>0</v>
      </c>
      <c r="W41" s="26">
        <f t="shared" si="299"/>
        <v>0</v>
      </c>
      <c r="X41" s="26">
        <f t="shared" si="299"/>
        <v>0</v>
      </c>
      <c r="Y41" s="26">
        <f t="shared" si="299"/>
        <v>0</v>
      </c>
      <c r="Z41" s="26">
        <f t="shared" si="299"/>
        <v>0</v>
      </c>
      <c r="AA41" s="26">
        <f t="shared" si="299"/>
        <v>0</v>
      </c>
      <c r="AB41" s="26">
        <f t="shared" si="299"/>
        <v>0</v>
      </c>
      <c r="AC41" s="26">
        <f t="shared" si="299"/>
        <v>0</v>
      </c>
      <c r="AD41" s="26">
        <f t="shared" si="299"/>
        <v>0</v>
      </c>
      <c r="AE41" s="26">
        <f t="shared" si="299"/>
        <v>0</v>
      </c>
      <c r="AF41" s="26">
        <f t="shared" si="299"/>
        <v>0</v>
      </c>
      <c r="AG41" s="19">
        <v>1.1000000000000001</v>
      </c>
      <c r="AH41" s="26">
        <f t="shared" si="293"/>
        <v>0</v>
      </c>
      <c r="AI41" s="26">
        <f t="shared" si="259"/>
        <v>0</v>
      </c>
      <c r="AJ41" s="26">
        <f t="shared" si="259"/>
        <v>0</v>
      </c>
      <c r="AK41" s="26">
        <f t="shared" si="259"/>
        <v>0</v>
      </c>
      <c r="AL41" s="26">
        <f t="shared" si="259"/>
        <v>0</v>
      </c>
      <c r="AM41" s="26">
        <f t="shared" si="259"/>
        <v>0</v>
      </c>
      <c r="AN41" s="26">
        <f t="shared" si="259"/>
        <v>0</v>
      </c>
      <c r="AO41" s="26">
        <f t="shared" si="259"/>
        <v>0</v>
      </c>
      <c r="AP41" s="26">
        <f t="shared" si="259"/>
        <v>0</v>
      </c>
      <c r="AQ41" s="26">
        <f t="shared" si="259"/>
        <v>0</v>
      </c>
      <c r="AR41" s="26">
        <f t="shared" si="259"/>
        <v>0</v>
      </c>
      <c r="AS41" s="26">
        <f t="shared" si="259"/>
        <v>0</v>
      </c>
      <c r="AT41" s="19">
        <v>1.1000000000000001</v>
      </c>
      <c r="AU41" s="26">
        <f t="shared" si="281"/>
        <v>0</v>
      </c>
      <c r="AV41" s="26">
        <f t="shared" ref="AV41:BF41" si="300">AU41</f>
        <v>0</v>
      </c>
      <c r="AW41" s="26">
        <f t="shared" si="300"/>
        <v>0</v>
      </c>
      <c r="AX41" s="26">
        <f t="shared" si="300"/>
        <v>0</v>
      </c>
      <c r="AY41" s="26">
        <f t="shared" si="300"/>
        <v>0</v>
      </c>
      <c r="AZ41" s="26">
        <f t="shared" si="300"/>
        <v>0</v>
      </c>
      <c r="BA41" s="26">
        <f t="shared" si="300"/>
        <v>0</v>
      </c>
      <c r="BB41" s="26">
        <f t="shared" si="300"/>
        <v>0</v>
      </c>
      <c r="BC41" s="26">
        <f t="shared" si="300"/>
        <v>0</v>
      </c>
      <c r="BD41" s="26">
        <f t="shared" si="300"/>
        <v>0</v>
      </c>
      <c r="BE41" s="26">
        <f t="shared" si="300"/>
        <v>0</v>
      </c>
      <c r="BF41" s="26">
        <f t="shared" si="300"/>
        <v>0</v>
      </c>
      <c r="BG41" s="19">
        <v>1.1000000000000001</v>
      </c>
      <c r="BH41" s="26">
        <f t="shared" si="283"/>
        <v>0</v>
      </c>
      <c r="BI41" s="26">
        <f t="shared" ref="BI41:BS41" si="301">BH41</f>
        <v>0</v>
      </c>
      <c r="BJ41" s="26">
        <f t="shared" si="301"/>
        <v>0</v>
      </c>
      <c r="BK41" s="26">
        <f t="shared" si="301"/>
        <v>0</v>
      </c>
      <c r="BL41" s="26">
        <f t="shared" si="301"/>
        <v>0</v>
      </c>
      <c r="BM41" s="26">
        <f t="shared" si="301"/>
        <v>0</v>
      </c>
      <c r="BN41" s="26">
        <f t="shared" si="301"/>
        <v>0</v>
      </c>
      <c r="BO41" s="26">
        <f t="shared" si="301"/>
        <v>0</v>
      </c>
      <c r="BP41" s="26">
        <f t="shared" si="301"/>
        <v>0</v>
      </c>
      <c r="BQ41" s="26">
        <f t="shared" si="301"/>
        <v>0</v>
      </c>
      <c r="BR41" s="26">
        <f t="shared" si="301"/>
        <v>0</v>
      </c>
      <c r="BS41" s="26">
        <f t="shared" si="301"/>
        <v>0</v>
      </c>
      <c r="BT41" s="19">
        <v>1.1000000000000001</v>
      </c>
      <c r="BU41" s="26">
        <f>BS41*BT41</f>
        <v>0</v>
      </c>
      <c r="BV41" s="26">
        <f t="shared" ref="BV41:CF41" si="302">BU41</f>
        <v>0</v>
      </c>
      <c r="BW41" s="26">
        <f t="shared" si="302"/>
        <v>0</v>
      </c>
      <c r="BX41" s="26">
        <f t="shared" si="302"/>
        <v>0</v>
      </c>
      <c r="BY41" s="26">
        <f t="shared" si="302"/>
        <v>0</v>
      </c>
      <c r="BZ41" s="26">
        <f t="shared" si="302"/>
        <v>0</v>
      </c>
      <c r="CA41" s="26">
        <f t="shared" si="302"/>
        <v>0</v>
      </c>
      <c r="CB41" s="26">
        <f t="shared" si="302"/>
        <v>0</v>
      </c>
      <c r="CC41" s="26">
        <f t="shared" si="302"/>
        <v>0</v>
      </c>
      <c r="CD41" s="26">
        <f t="shared" si="302"/>
        <v>0</v>
      </c>
      <c r="CE41" s="26">
        <f t="shared" si="302"/>
        <v>0</v>
      </c>
      <c r="CF41" s="26">
        <f t="shared" si="302"/>
        <v>0</v>
      </c>
      <c r="CG41" s="311">
        <v>1.1000000000000001</v>
      </c>
      <c r="CH41" s="313">
        <f t="shared" si="287"/>
        <v>0</v>
      </c>
      <c r="CI41" s="313">
        <f t="shared" ref="CI41:CS41" si="303">CH41</f>
        <v>0</v>
      </c>
      <c r="CJ41" s="313">
        <f t="shared" si="303"/>
        <v>0</v>
      </c>
      <c r="CK41" s="313">
        <f t="shared" si="303"/>
        <v>0</v>
      </c>
      <c r="CL41" s="313">
        <f t="shared" si="303"/>
        <v>0</v>
      </c>
      <c r="CM41" s="313">
        <f t="shared" si="303"/>
        <v>0</v>
      </c>
      <c r="CN41" s="313">
        <f t="shared" si="303"/>
        <v>0</v>
      </c>
      <c r="CO41" s="313">
        <f t="shared" si="303"/>
        <v>0</v>
      </c>
      <c r="CP41" s="313">
        <f t="shared" si="303"/>
        <v>0</v>
      </c>
      <c r="CQ41" s="313">
        <f t="shared" si="303"/>
        <v>0</v>
      </c>
      <c r="CR41" s="313">
        <f t="shared" si="303"/>
        <v>0</v>
      </c>
      <c r="CS41" s="313">
        <f t="shared" si="303"/>
        <v>0</v>
      </c>
      <c r="CT41" s="311">
        <v>1.1000000000000001</v>
      </c>
      <c r="CU41" s="302">
        <f t="shared" si="289"/>
        <v>0</v>
      </c>
      <c r="CV41" s="313">
        <f t="shared" ref="CV41:DF41" si="304">CU41</f>
        <v>0</v>
      </c>
      <c r="CW41" s="313">
        <f t="shared" si="304"/>
        <v>0</v>
      </c>
      <c r="CX41" s="313">
        <f t="shared" si="304"/>
        <v>0</v>
      </c>
      <c r="CY41" s="313">
        <f t="shared" si="304"/>
        <v>0</v>
      </c>
      <c r="CZ41" s="313">
        <f t="shared" si="304"/>
        <v>0</v>
      </c>
      <c r="DA41" s="313">
        <f t="shared" si="304"/>
        <v>0</v>
      </c>
      <c r="DB41" s="313">
        <f t="shared" si="304"/>
        <v>0</v>
      </c>
      <c r="DC41" s="313">
        <f t="shared" si="304"/>
        <v>0</v>
      </c>
      <c r="DD41" s="313">
        <f t="shared" si="304"/>
        <v>0</v>
      </c>
      <c r="DE41" s="313">
        <f t="shared" si="304"/>
        <v>0</v>
      </c>
      <c r="DF41" s="313">
        <f t="shared" si="304"/>
        <v>0</v>
      </c>
    </row>
    <row r="42" spans="1:110" ht="15" thickBot="1">
      <c r="A42" s="19" t="s">
        <v>54</v>
      </c>
      <c r="B42" s="5" t="s">
        <v>55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19">
        <v>1.1000000000000001</v>
      </c>
      <c r="U42" s="26">
        <f t="shared" si="291"/>
        <v>0</v>
      </c>
      <c r="V42" s="26">
        <f t="shared" ref="V42:AF42" si="305">U42</f>
        <v>0</v>
      </c>
      <c r="W42" s="26">
        <f t="shared" si="305"/>
        <v>0</v>
      </c>
      <c r="X42" s="26">
        <f t="shared" si="305"/>
        <v>0</v>
      </c>
      <c r="Y42" s="26">
        <f t="shared" si="305"/>
        <v>0</v>
      </c>
      <c r="Z42" s="26">
        <f t="shared" si="305"/>
        <v>0</v>
      </c>
      <c r="AA42" s="26">
        <f t="shared" si="305"/>
        <v>0</v>
      </c>
      <c r="AB42" s="26">
        <f t="shared" si="305"/>
        <v>0</v>
      </c>
      <c r="AC42" s="26">
        <f t="shared" si="305"/>
        <v>0</v>
      </c>
      <c r="AD42" s="26">
        <f t="shared" si="305"/>
        <v>0</v>
      </c>
      <c r="AE42" s="26">
        <f t="shared" si="305"/>
        <v>0</v>
      </c>
      <c r="AF42" s="26">
        <f t="shared" si="305"/>
        <v>0</v>
      </c>
      <c r="AG42" s="19">
        <v>1.1000000000000001</v>
      </c>
      <c r="AH42" s="26">
        <f t="shared" si="293"/>
        <v>0</v>
      </c>
      <c r="AI42" s="26">
        <f t="shared" si="259"/>
        <v>0</v>
      </c>
      <c r="AJ42" s="26">
        <f t="shared" si="259"/>
        <v>0</v>
      </c>
      <c r="AK42" s="26">
        <f t="shared" si="259"/>
        <v>0</v>
      </c>
      <c r="AL42" s="26">
        <f t="shared" si="259"/>
        <v>0</v>
      </c>
      <c r="AM42" s="26">
        <f t="shared" si="259"/>
        <v>0</v>
      </c>
      <c r="AN42" s="26">
        <f t="shared" si="259"/>
        <v>0</v>
      </c>
      <c r="AO42" s="26">
        <f t="shared" si="259"/>
        <v>0</v>
      </c>
      <c r="AP42" s="26">
        <f t="shared" si="259"/>
        <v>0</v>
      </c>
      <c r="AQ42" s="26">
        <f t="shared" si="259"/>
        <v>0</v>
      </c>
      <c r="AR42" s="26">
        <f t="shared" si="259"/>
        <v>0</v>
      </c>
      <c r="AS42" s="26">
        <f t="shared" si="259"/>
        <v>0</v>
      </c>
      <c r="AT42" s="19">
        <v>1.1000000000000001</v>
      </c>
      <c r="AU42" s="26">
        <f t="shared" si="281"/>
        <v>0</v>
      </c>
      <c r="AV42" s="26">
        <f t="shared" ref="AV42:BF42" si="306">AU42</f>
        <v>0</v>
      </c>
      <c r="AW42" s="26">
        <f t="shared" si="306"/>
        <v>0</v>
      </c>
      <c r="AX42" s="26">
        <f t="shared" si="306"/>
        <v>0</v>
      </c>
      <c r="AY42" s="26">
        <f t="shared" si="306"/>
        <v>0</v>
      </c>
      <c r="AZ42" s="26">
        <f t="shared" si="306"/>
        <v>0</v>
      </c>
      <c r="BA42" s="26">
        <f t="shared" si="306"/>
        <v>0</v>
      </c>
      <c r="BB42" s="26">
        <f t="shared" si="306"/>
        <v>0</v>
      </c>
      <c r="BC42" s="26">
        <f t="shared" si="306"/>
        <v>0</v>
      </c>
      <c r="BD42" s="26">
        <f t="shared" si="306"/>
        <v>0</v>
      </c>
      <c r="BE42" s="26">
        <f t="shared" si="306"/>
        <v>0</v>
      </c>
      <c r="BF42" s="26">
        <f t="shared" si="306"/>
        <v>0</v>
      </c>
      <c r="BG42" s="19">
        <v>1.1000000000000001</v>
      </c>
      <c r="BH42" s="26">
        <f t="shared" si="283"/>
        <v>0</v>
      </c>
      <c r="BI42" s="26">
        <f t="shared" ref="BI42:BS42" si="307">BH42</f>
        <v>0</v>
      </c>
      <c r="BJ42" s="26">
        <f t="shared" si="307"/>
        <v>0</v>
      </c>
      <c r="BK42" s="26">
        <f t="shared" si="307"/>
        <v>0</v>
      </c>
      <c r="BL42" s="26">
        <f t="shared" si="307"/>
        <v>0</v>
      </c>
      <c r="BM42" s="26">
        <f t="shared" si="307"/>
        <v>0</v>
      </c>
      <c r="BN42" s="26">
        <f t="shared" si="307"/>
        <v>0</v>
      </c>
      <c r="BO42" s="26">
        <f t="shared" si="307"/>
        <v>0</v>
      </c>
      <c r="BP42" s="26">
        <f t="shared" si="307"/>
        <v>0</v>
      </c>
      <c r="BQ42" s="26">
        <f t="shared" si="307"/>
        <v>0</v>
      </c>
      <c r="BR42" s="26">
        <f t="shared" si="307"/>
        <v>0</v>
      </c>
      <c r="BS42" s="26">
        <f t="shared" si="307"/>
        <v>0</v>
      </c>
      <c r="BT42" s="19">
        <v>1.1000000000000001</v>
      </c>
      <c r="BU42" s="26">
        <f t="shared" si="285"/>
        <v>0</v>
      </c>
      <c r="BV42" s="26">
        <f t="shared" ref="BV42:CF42" si="308">BU42</f>
        <v>0</v>
      </c>
      <c r="BW42" s="26">
        <f t="shared" si="308"/>
        <v>0</v>
      </c>
      <c r="BX42" s="26">
        <f t="shared" si="308"/>
        <v>0</v>
      </c>
      <c r="BY42" s="26">
        <f t="shared" si="308"/>
        <v>0</v>
      </c>
      <c r="BZ42" s="26">
        <f t="shared" si="308"/>
        <v>0</v>
      </c>
      <c r="CA42" s="26">
        <f t="shared" si="308"/>
        <v>0</v>
      </c>
      <c r="CB42" s="26">
        <f t="shared" si="308"/>
        <v>0</v>
      </c>
      <c r="CC42" s="26">
        <f t="shared" si="308"/>
        <v>0</v>
      </c>
      <c r="CD42" s="26">
        <f t="shared" si="308"/>
        <v>0</v>
      </c>
      <c r="CE42" s="26">
        <f t="shared" si="308"/>
        <v>0</v>
      </c>
      <c r="CF42" s="26">
        <f t="shared" si="308"/>
        <v>0</v>
      </c>
      <c r="CG42" s="311">
        <v>1.1000000000000001</v>
      </c>
      <c r="CH42" s="313">
        <f t="shared" si="287"/>
        <v>0</v>
      </c>
      <c r="CI42" s="313">
        <f t="shared" ref="CI42:CS42" si="309">CH42</f>
        <v>0</v>
      </c>
      <c r="CJ42" s="313">
        <f t="shared" si="309"/>
        <v>0</v>
      </c>
      <c r="CK42" s="313">
        <f t="shared" si="309"/>
        <v>0</v>
      </c>
      <c r="CL42" s="313">
        <f t="shared" si="309"/>
        <v>0</v>
      </c>
      <c r="CM42" s="313">
        <f t="shared" si="309"/>
        <v>0</v>
      </c>
      <c r="CN42" s="313">
        <f t="shared" si="309"/>
        <v>0</v>
      </c>
      <c r="CO42" s="313">
        <f t="shared" si="309"/>
        <v>0</v>
      </c>
      <c r="CP42" s="313">
        <f t="shared" si="309"/>
        <v>0</v>
      </c>
      <c r="CQ42" s="313">
        <f t="shared" si="309"/>
        <v>0</v>
      </c>
      <c r="CR42" s="313">
        <f t="shared" si="309"/>
        <v>0</v>
      </c>
      <c r="CS42" s="313">
        <f t="shared" si="309"/>
        <v>0</v>
      </c>
      <c r="CT42" s="311">
        <v>1.1000000000000001</v>
      </c>
      <c r="CU42" s="302">
        <f t="shared" si="289"/>
        <v>0</v>
      </c>
      <c r="CV42" s="313">
        <f t="shared" ref="CV42:DF42" si="310">CU42</f>
        <v>0</v>
      </c>
      <c r="CW42" s="313">
        <f t="shared" si="310"/>
        <v>0</v>
      </c>
      <c r="CX42" s="313">
        <f t="shared" si="310"/>
        <v>0</v>
      </c>
      <c r="CY42" s="313">
        <f t="shared" si="310"/>
        <v>0</v>
      </c>
      <c r="CZ42" s="313">
        <f t="shared" si="310"/>
        <v>0</v>
      </c>
      <c r="DA42" s="313">
        <f t="shared" si="310"/>
        <v>0</v>
      </c>
      <c r="DB42" s="313">
        <f t="shared" si="310"/>
        <v>0</v>
      </c>
      <c r="DC42" s="313">
        <f t="shared" si="310"/>
        <v>0</v>
      </c>
      <c r="DD42" s="313">
        <f t="shared" si="310"/>
        <v>0</v>
      </c>
      <c r="DE42" s="313">
        <f t="shared" si="310"/>
        <v>0</v>
      </c>
      <c r="DF42" s="313">
        <f t="shared" si="310"/>
        <v>0</v>
      </c>
    </row>
    <row r="43" spans="1:110" ht="15" thickBot="1">
      <c r="A43" s="19" t="s">
        <v>56</v>
      </c>
      <c r="B43" s="5" t="s">
        <v>547</v>
      </c>
      <c r="D43" s="26">
        <f>1800*5</f>
        <v>9000</v>
      </c>
      <c r="E43" s="26">
        <v>2480</v>
      </c>
      <c r="F43" s="26">
        <v>1800</v>
      </c>
      <c r="G43" s="26">
        <v>1800</v>
      </c>
      <c r="H43" s="26">
        <v>1800</v>
      </c>
      <c r="I43" s="26">
        <v>1800</v>
      </c>
      <c r="J43" s="26">
        <v>1800</v>
      </c>
      <c r="K43" s="26">
        <v>1800</v>
      </c>
      <c r="L43" s="26">
        <v>1800</v>
      </c>
      <c r="M43" s="26">
        <v>1800</v>
      </c>
      <c r="N43" s="26">
        <v>1800</v>
      </c>
      <c r="O43" s="26">
        <v>1800</v>
      </c>
      <c r="P43" s="26">
        <v>1800</v>
      </c>
      <c r="Q43" s="26">
        <v>1800</v>
      </c>
      <c r="R43" s="26">
        <v>1800</v>
      </c>
      <c r="S43" s="26">
        <v>1800</v>
      </c>
      <c r="T43" s="19">
        <v>1.1000000000000001</v>
      </c>
      <c r="U43" s="26">
        <f t="shared" si="291"/>
        <v>1980.0000000000002</v>
      </c>
      <c r="V43" s="26">
        <f t="shared" ref="V43:AF43" si="311">U43</f>
        <v>1980.0000000000002</v>
      </c>
      <c r="W43" s="26">
        <f t="shared" si="311"/>
        <v>1980.0000000000002</v>
      </c>
      <c r="X43" s="26">
        <f t="shared" si="311"/>
        <v>1980.0000000000002</v>
      </c>
      <c r="Y43" s="26">
        <f t="shared" si="311"/>
        <v>1980.0000000000002</v>
      </c>
      <c r="Z43" s="26">
        <f t="shared" si="311"/>
        <v>1980.0000000000002</v>
      </c>
      <c r="AA43" s="26">
        <f t="shared" si="311"/>
        <v>1980.0000000000002</v>
      </c>
      <c r="AB43" s="26">
        <f t="shared" si="311"/>
        <v>1980.0000000000002</v>
      </c>
      <c r="AC43" s="26">
        <f t="shared" si="311"/>
        <v>1980.0000000000002</v>
      </c>
      <c r="AD43" s="26">
        <f t="shared" si="311"/>
        <v>1980.0000000000002</v>
      </c>
      <c r="AE43" s="26">
        <f t="shared" si="311"/>
        <v>1980.0000000000002</v>
      </c>
      <c r="AF43" s="26">
        <f t="shared" si="311"/>
        <v>1980.0000000000002</v>
      </c>
      <c r="AG43" s="19">
        <v>1.1000000000000001</v>
      </c>
      <c r="AH43" s="26">
        <f t="shared" si="293"/>
        <v>2178.0000000000005</v>
      </c>
      <c r="AI43" s="26">
        <f t="shared" si="259"/>
        <v>2178.0000000000005</v>
      </c>
      <c r="AJ43" s="26">
        <f t="shared" si="259"/>
        <v>2178.0000000000005</v>
      </c>
      <c r="AK43" s="26">
        <f t="shared" si="259"/>
        <v>2178.0000000000005</v>
      </c>
      <c r="AL43" s="26">
        <f t="shared" si="259"/>
        <v>2178.0000000000005</v>
      </c>
      <c r="AM43" s="26">
        <f t="shared" si="259"/>
        <v>2178.0000000000005</v>
      </c>
      <c r="AN43" s="26">
        <f t="shared" si="259"/>
        <v>2178.0000000000005</v>
      </c>
      <c r="AO43" s="26">
        <f t="shared" si="259"/>
        <v>2178.0000000000005</v>
      </c>
      <c r="AP43" s="26">
        <f t="shared" si="259"/>
        <v>2178.0000000000005</v>
      </c>
      <c r="AQ43" s="26">
        <f t="shared" si="259"/>
        <v>2178.0000000000005</v>
      </c>
      <c r="AR43" s="26">
        <f t="shared" si="259"/>
        <v>2178.0000000000005</v>
      </c>
      <c r="AS43" s="26">
        <f t="shared" si="259"/>
        <v>2178.0000000000005</v>
      </c>
      <c r="AT43" s="19">
        <v>1.1000000000000001</v>
      </c>
      <c r="AU43" s="26">
        <f t="shared" si="281"/>
        <v>2395.8000000000006</v>
      </c>
      <c r="AV43" s="26">
        <f t="shared" ref="AV43:BF43" si="312">AU43</f>
        <v>2395.8000000000006</v>
      </c>
      <c r="AW43" s="26">
        <f t="shared" si="312"/>
        <v>2395.8000000000006</v>
      </c>
      <c r="AX43" s="26">
        <f t="shared" si="312"/>
        <v>2395.8000000000006</v>
      </c>
      <c r="AY43" s="26">
        <f t="shared" si="312"/>
        <v>2395.8000000000006</v>
      </c>
      <c r="AZ43" s="26">
        <f t="shared" si="312"/>
        <v>2395.8000000000006</v>
      </c>
      <c r="BA43" s="26">
        <f t="shared" si="312"/>
        <v>2395.8000000000006</v>
      </c>
      <c r="BB43" s="26">
        <f t="shared" si="312"/>
        <v>2395.8000000000006</v>
      </c>
      <c r="BC43" s="26">
        <f t="shared" si="312"/>
        <v>2395.8000000000006</v>
      </c>
      <c r="BD43" s="26">
        <f t="shared" si="312"/>
        <v>2395.8000000000006</v>
      </c>
      <c r="BE43" s="26">
        <f t="shared" si="312"/>
        <v>2395.8000000000006</v>
      </c>
      <c r="BF43" s="26">
        <f t="shared" si="312"/>
        <v>2395.8000000000006</v>
      </c>
      <c r="BG43" s="19">
        <v>1.1000000000000001</v>
      </c>
      <c r="BH43" s="26">
        <f t="shared" si="283"/>
        <v>2635.380000000001</v>
      </c>
      <c r="BI43" s="26">
        <f t="shared" ref="BI43:BS43" si="313">BH43</f>
        <v>2635.380000000001</v>
      </c>
      <c r="BJ43" s="26">
        <f t="shared" si="313"/>
        <v>2635.380000000001</v>
      </c>
      <c r="BK43" s="26">
        <f t="shared" si="313"/>
        <v>2635.380000000001</v>
      </c>
      <c r="BL43" s="26">
        <f t="shared" si="313"/>
        <v>2635.380000000001</v>
      </c>
      <c r="BM43" s="26">
        <f t="shared" si="313"/>
        <v>2635.380000000001</v>
      </c>
      <c r="BN43" s="26">
        <f t="shared" si="313"/>
        <v>2635.380000000001</v>
      </c>
      <c r="BO43" s="26">
        <f t="shared" si="313"/>
        <v>2635.380000000001</v>
      </c>
      <c r="BP43" s="26">
        <f t="shared" si="313"/>
        <v>2635.380000000001</v>
      </c>
      <c r="BQ43" s="26">
        <f t="shared" si="313"/>
        <v>2635.380000000001</v>
      </c>
      <c r="BR43" s="26">
        <f t="shared" si="313"/>
        <v>2635.380000000001</v>
      </c>
      <c r="BS43" s="26">
        <f t="shared" si="313"/>
        <v>2635.380000000001</v>
      </c>
      <c r="BT43" s="19">
        <v>1.1000000000000001</v>
      </c>
      <c r="BU43" s="26">
        <f t="shared" si="285"/>
        <v>2898.9180000000015</v>
      </c>
      <c r="BV43" s="26">
        <f t="shared" ref="BV43:CF43" si="314">BU43</f>
        <v>2898.9180000000015</v>
      </c>
      <c r="BW43" s="26">
        <f t="shared" si="314"/>
        <v>2898.9180000000015</v>
      </c>
      <c r="BX43" s="26">
        <f t="shared" si="314"/>
        <v>2898.9180000000015</v>
      </c>
      <c r="BY43" s="26">
        <f t="shared" si="314"/>
        <v>2898.9180000000015</v>
      </c>
      <c r="BZ43" s="26">
        <f t="shared" si="314"/>
        <v>2898.9180000000015</v>
      </c>
      <c r="CA43" s="26">
        <f t="shared" si="314"/>
        <v>2898.9180000000015</v>
      </c>
      <c r="CB43" s="26">
        <f t="shared" si="314"/>
        <v>2898.9180000000015</v>
      </c>
      <c r="CC43" s="26">
        <f t="shared" si="314"/>
        <v>2898.9180000000015</v>
      </c>
      <c r="CD43" s="26">
        <f t="shared" si="314"/>
        <v>2898.9180000000015</v>
      </c>
      <c r="CE43" s="26">
        <f t="shared" si="314"/>
        <v>2898.9180000000015</v>
      </c>
      <c r="CF43" s="26">
        <f t="shared" si="314"/>
        <v>2898.9180000000015</v>
      </c>
      <c r="CG43" s="311">
        <v>1.1000000000000001</v>
      </c>
      <c r="CH43" s="313">
        <f t="shared" si="287"/>
        <v>3188.8098000000018</v>
      </c>
      <c r="CI43" s="313">
        <f t="shared" ref="CI43:CS43" si="315">CH43</f>
        <v>3188.8098000000018</v>
      </c>
      <c r="CJ43" s="313">
        <f t="shared" si="315"/>
        <v>3188.8098000000018</v>
      </c>
      <c r="CK43" s="313">
        <f t="shared" si="315"/>
        <v>3188.8098000000018</v>
      </c>
      <c r="CL43" s="313">
        <f t="shared" si="315"/>
        <v>3188.8098000000018</v>
      </c>
      <c r="CM43" s="313">
        <f t="shared" si="315"/>
        <v>3188.8098000000018</v>
      </c>
      <c r="CN43" s="313">
        <f t="shared" si="315"/>
        <v>3188.8098000000018</v>
      </c>
      <c r="CO43" s="313">
        <f t="shared" si="315"/>
        <v>3188.8098000000018</v>
      </c>
      <c r="CP43" s="313">
        <f t="shared" si="315"/>
        <v>3188.8098000000018</v>
      </c>
      <c r="CQ43" s="313">
        <f t="shared" si="315"/>
        <v>3188.8098000000018</v>
      </c>
      <c r="CR43" s="313">
        <f t="shared" si="315"/>
        <v>3188.8098000000018</v>
      </c>
      <c r="CS43" s="313">
        <f t="shared" si="315"/>
        <v>3188.8098000000018</v>
      </c>
      <c r="CT43" s="311">
        <v>1.1000000000000001</v>
      </c>
      <c r="CU43" s="313">
        <f t="shared" si="289"/>
        <v>3507.6907800000022</v>
      </c>
      <c r="CV43" s="313">
        <f t="shared" ref="CV43:DF43" si="316">CU43</f>
        <v>3507.6907800000022</v>
      </c>
      <c r="CW43" s="313">
        <f t="shared" si="316"/>
        <v>3507.6907800000022</v>
      </c>
      <c r="CX43" s="313">
        <f t="shared" si="316"/>
        <v>3507.6907800000022</v>
      </c>
      <c r="CY43" s="313">
        <f t="shared" si="316"/>
        <v>3507.6907800000022</v>
      </c>
      <c r="CZ43" s="313">
        <f t="shared" si="316"/>
        <v>3507.6907800000022</v>
      </c>
      <c r="DA43" s="313">
        <f t="shared" si="316"/>
        <v>3507.6907800000022</v>
      </c>
      <c r="DB43" s="313">
        <f t="shared" si="316"/>
        <v>3507.6907800000022</v>
      </c>
      <c r="DC43" s="313">
        <f t="shared" si="316"/>
        <v>3507.6907800000022</v>
      </c>
      <c r="DD43" s="313">
        <f t="shared" si="316"/>
        <v>3507.6907800000022</v>
      </c>
      <c r="DE43" s="313">
        <f t="shared" si="316"/>
        <v>3507.6907800000022</v>
      </c>
      <c r="DF43" s="313">
        <f t="shared" si="316"/>
        <v>3507.6907800000022</v>
      </c>
    </row>
    <row r="44" spans="1:110" ht="15" thickBot="1">
      <c r="A44" s="19" t="s">
        <v>57</v>
      </c>
      <c r="B44" s="5" t="s">
        <v>176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26">
        <f>$H$44</f>
        <v>0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19">
        <v>1.1000000000000001</v>
      </c>
      <c r="U44" s="26">
        <f t="shared" si="291"/>
        <v>0</v>
      </c>
      <c r="V44" s="26">
        <f t="shared" ref="V44:AF44" si="317">U44</f>
        <v>0</v>
      </c>
      <c r="W44" s="26">
        <f t="shared" si="317"/>
        <v>0</v>
      </c>
      <c r="X44" s="26">
        <f t="shared" si="317"/>
        <v>0</v>
      </c>
      <c r="Y44" s="26">
        <f t="shared" si="317"/>
        <v>0</v>
      </c>
      <c r="Z44" s="26">
        <f t="shared" si="317"/>
        <v>0</v>
      </c>
      <c r="AA44" s="26">
        <f t="shared" si="317"/>
        <v>0</v>
      </c>
      <c r="AB44" s="26">
        <f t="shared" si="317"/>
        <v>0</v>
      </c>
      <c r="AC44" s="26">
        <f t="shared" si="317"/>
        <v>0</v>
      </c>
      <c r="AD44" s="26">
        <f t="shared" si="317"/>
        <v>0</v>
      </c>
      <c r="AE44" s="26">
        <f t="shared" si="317"/>
        <v>0</v>
      </c>
      <c r="AF44" s="26">
        <f t="shared" si="317"/>
        <v>0</v>
      </c>
      <c r="AG44" s="19">
        <v>1.1000000000000001</v>
      </c>
      <c r="AH44" s="26">
        <f t="shared" si="293"/>
        <v>0</v>
      </c>
      <c r="AI44" s="26">
        <f t="shared" si="259"/>
        <v>0</v>
      </c>
      <c r="AJ44" s="26">
        <f t="shared" si="259"/>
        <v>0</v>
      </c>
      <c r="AK44" s="26">
        <f t="shared" si="259"/>
        <v>0</v>
      </c>
      <c r="AL44" s="26">
        <f t="shared" si="259"/>
        <v>0</v>
      </c>
      <c r="AM44" s="26">
        <f t="shared" si="259"/>
        <v>0</v>
      </c>
      <c r="AN44" s="26">
        <f t="shared" si="259"/>
        <v>0</v>
      </c>
      <c r="AO44" s="26">
        <f t="shared" si="259"/>
        <v>0</v>
      </c>
      <c r="AP44" s="26">
        <f t="shared" si="259"/>
        <v>0</v>
      </c>
      <c r="AQ44" s="26">
        <f t="shared" si="259"/>
        <v>0</v>
      </c>
      <c r="AR44" s="26">
        <f t="shared" si="259"/>
        <v>0</v>
      </c>
      <c r="AS44" s="26">
        <f t="shared" si="259"/>
        <v>0</v>
      </c>
      <c r="AT44" s="19">
        <v>1.1000000000000001</v>
      </c>
      <c r="AU44" s="26">
        <f t="shared" si="281"/>
        <v>0</v>
      </c>
      <c r="AV44" s="26">
        <f t="shared" ref="AV44:BF44" si="318">AU44</f>
        <v>0</v>
      </c>
      <c r="AW44" s="26">
        <f t="shared" si="318"/>
        <v>0</v>
      </c>
      <c r="AX44" s="26">
        <f t="shared" si="318"/>
        <v>0</v>
      </c>
      <c r="AY44" s="26">
        <f t="shared" si="318"/>
        <v>0</v>
      </c>
      <c r="AZ44" s="26">
        <f t="shared" si="318"/>
        <v>0</v>
      </c>
      <c r="BA44" s="26">
        <f t="shared" si="318"/>
        <v>0</v>
      </c>
      <c r="BB44" s="26">
        <f t="shared" si="318"/>
        <v>0</v>
      </c>
      <c r="BC44" s="26">
        <f t="shared" si="318"/>
        <v>0</v>
      </c>
      <c r="BD44" s="26">
        <f t="shared" si="318"/>
        <v>0</v>
      </c>
      <c r="BE44" s="26">
        <f t="shared" si="318"/>
        <v>0</v>
      </c>
      <c r="BF44" s="26">
        <f t="shared" si="318"/>
        <v>0</v>
      </c>
      <c r="BG44" s="19">
        <v>1.1000000000000001</v>
      </c>
      <c r="BH44" s="26">
        <f t="shared" si="283"/>
        <v>0</v>
      </c>
      <c r="BI44" s="26">
        <f t="shared" ref="BI44:BS44" si="319">BH44</f>
        <v>0</v>
      </c>
      <c r="BJ44" s="26">
        <f t="shared" si="319"/>
        <v>0</v>
      </c>
      <c r="BK44" s="26">
        <f t="shared" si="319"/>
        <v>0</v>
      </c>
      <c r="BL44" s="26">
        <f t="shared" si="319"/>
        <v>0</v>
      </c>
      <c r="BM44" s="26">
        <f t="shared" si="319"/>
        <v>0</v>
      </c>
      <c r="BN44" s="26">
        <f t="shared" si="319"/>
        <v>0</v>
      </c>
      <c r="BO44" s="26">
        <f t="shared" si="319"/>
        <v>0</v>
      </c>
      <c r="BP44" s="26">
        <f t="shared" si="319"/>
        <v>0</v>
      </c>
      <c r="BQ44" s="26">
        <f t="shared" si="319"/>
        <v>0</v>
      </c>
      <c r="BR44" s="26">
        <f t="shared" si="319"/>
        <v>0</v>
      </c>
      <c r="BS44" s="26">
        <f t="shared" si="319"/>
        <v>0</v>
      </c>
      <c r="BT44" s="19">
        <v>1.1000000000000001</v>
      </c>
      <c r="BU44" s="26">
        <f t="shared" si="285"/>
        <v>0</v>
      </c>
      <c r="BV44" s="26">
        <f t="shared" ref="BV44:CF44" si="320">BU44</f>
        <v>0</v>
      </c>
      <c r="BW44" s="26">
        <f t="shared" si="320"/>
        <v>0</v>
      </c>
      <c r="BX44" s="26">
        <f t="shared" si="320"/>
        <v>0</v>
      </c>
      <c r="BY44" s="26">
        <f t="shared" si="320"/>
        <v>0</v>
      </c>
      <c r="BZ44" s="26">
        <f t="shared" si="320"/>
        <v>0</v>
      </c>
      <c r="CA44" s="26">
        <f t="shared" si="320"/>
        <v>0</v>
      </c>
      <c r="CB44" s="26">
        <f t="shared" si="320"/>
        <v>0</v>
      </c>
      <c r="CC44" s="26">
        <f t="shared" si="320"/>
        <v>0</v>
      </c>
      <c r="CD44" s="26">
        <f t="shared" si="320"/>
        <v>0</v>
      </c>
      <c r="CE44" s="26">
        <f t="shared" si="320"/>
        <v>0</v>
      </c>
      <c r="CF44" s="26">
        <f t="shared" si="320"/>
        <v>0</v>
      </c>
      <c r="CG44" s="311">
        <v>1.1000000000000001</v>
      </c>
      <c r="CH44" s="313">
        <f t="shared" si="287"/>
        <v>0</v>
      </c>
      <c r="CI44" s="313">
        <f t="shared" ref="CI44:CS44" si="321">CH44</f>
        <v>0</v>
      </c>
      <c r="CJ44" s="313">
        <f t="shared" si="321"/>
        <v>0</v>
      </c>
      <c r="CK44" s="313">
        <f t="shared" si="321"/>
        <v>0</v>
      </c>
      <c r="CL44" s="313">
        <f t="shared" si="321"/>
        <v>0</v>
      </c>
      <c r="CM44" s="313">
        <f t="shared" si="321"/>
        <v>0</v>
      </c>
      <c r="CN44" s="313">
        <f t="shared" si="321"/>
        <v>0</v>
      </c>
      <c r="CO44" s="313">
        <f t="shared" si="321"/>
        <v>0</v>
      </c>
      <c r="CP44" s="313">
        <f t="shared" si="321"/>
        <v>0</v>
      </c>
      <c r="CQ44" s="313">
        <f t="shared" si="321"/>
        <v>0</v>
      </c>
      <c r="CR44" s="313">
        <f t="shared" si="321"/>
        <v>0</v>
      </c>
      <c r="CS44" s="313">
        <f t="shared" si="321"/>
        <v>0</v>
      </c>
      <c r="CT44" s="311">
        <v>1.1000000000000001</v>
      </c>
      <c r="CU44" s="302">
        <f t="shared" si="289"/>
        <v>0</v>
      </c>
      <c r="CV44" s="313">
        <f t="shared" ref="CV44:DF44" si="322">CU44</f>
        <v>0</v>
      </c>
      <c r="CW44" s="313">
        <f t="shared" si="322"/>
        <v>0</v>
      </c>
      <c r="CX44" s="313">
        <f t="shared" si="322"/>
        <v>0</v>
      </c>
      <c r="CY44" s="313">
        <f t="shared" si="322"/>
        <v>0</v>
      </c>
      <c r="CZ44" s="313">
        <f t="shared" si="322"/>
        <v>0</v>
      </c>
      <c r="DA44" s="313">
        <f t="shared" si="322"/>
        <v>0</v>
      </c>
      <c r="DB44" s="313">
        <f t="shared" si="322"/>
        <v>0</v>
      </c>
      <c r="DC44" s="313">
        <f t="shared" si="322"/>
        <v>0</v>
      </c>
      <c r="DD44" s="313">
        <f t="shared" si="322"/>
        <v>0</v>
      </c>
      <c r="DE44" s="313">
        <f t="shared" si="322"/>
        <v>0</v>
      </c>
      <c r="DF44" s="313">
        <f t="shared" si="322"/>
        <v>0</v>
      </c>
    </row>
    <row r="45" spans="1:110" ht="15" thickBot="1">
      <c r="A45" s="19" t="s">
        <v>175</v>
      </c>
      <c r="B45" s="5" t="s">
        <v>58</v>
      </c>
      <c r="D45" s="26">
        <v>0</v>
      </c>
      <c r="E45" s="26">
        <v>0</v>
      </c>
      <c r="F45" s="26">
        <v>1000</v>
      </c>
      <c r="G45" s="26">
        <v>1000</v>
      </c>
      <c r="H45" s="26">
        <v>1000</v>
      </c>
      <c r="I45" s="26">
        <v>1000</v>
      </c>
      <c r="J45" s="26">
        <v>1000</v>
      </c>
      <c r="K45" s="26">
        <v>1000</v>
      </c>
      <c r="L45" s="26">
        <v>1000</v>
      </c>
      <c r="M45" s="26">
        <v>1000</v>
      </c>
      <c r="N45" s="26">
        <v>1000</v>
      </c>
      <c r="O45" s="26">
        <v>1000</v>
      </c>
      <c r="P45" s="26">
        <v>1000</v>
      </c>
      <c r="Q45" s="26">
        <v>1000</v>
      </c>
      <c r="R45" s="26">
        <v>1000</v>
      </c>
      <c r="S45" s="26">
        <v>1000</v>
      </c>
      <c r="T45" s="19">
        <v>1.1000000000000001</v>
      </c>
      <c r="U45" s="26">
        <f t="shared" si="291"/>
        <v>1100</v>
      </c>
      <c r="V45" s="26">
        <f t="shared" ref="V45:AF45" si="323">U45</f>
        <v>1100</v>
      </c>
      <c r="W45" s="26">
        <f t="shared" si="323"/>
        <v>1100</v>
      </c>
      <c r="X45" s="26">
        <f t="shared" si="323"/>
        <v>1100</v>
      </c>
      <c r="Y45" s="26">
        <f t="shared" si="323"/>
        <v>1100</v>
      </c>
      <c r="Z45" s="26">
        <f t="shared" si="323"/>
        <v>1100</v>
      </c>
      <c r="AA45" s="26">
        <f t="shared" si="323"/>
        <v>1100</v>
      </c>
      <c r="AB45" s="26">
        <f t="shared" si="323"/>
        <v>1100</v>
      </c>
      <c r="AC45" s="26">
        <f t="shared" si="323"/>
        <v>1100</v>
      </c>
      <c r="AD45" s="26">
        <f t="shared" si="323"/>
        <v>1100</v>
      </c>
      <c r="AE45" s="26">
        <f t="shared" si="323"/>
        <v>1100</v>
      </c>
      <c r="AF45" s="26">
        <f t="shared" si="323"/>
        <v>1100</v>
      </c>
      <c r="AG45" s="19">
        <v>1.1000000000000001</v>
      </c>
      <c r="AH45" s="26">
        <f t="shared" si="293"/>
        <v>1210</v>
      </c>
      <c r="AI45" s="26">
        <f t="shared" si="259"/>
        <v>1210</v>
      </c>
      <c r="AJ45" s="26">
        <f t="shared" si="259"/>
        <v>1210</v>
      </c>
      <c r="AK45" s="26">
        <f t="shared" si="259"/>
        <v>1210</v>
      </c>
      <c r="AL45" s="26">
        <f t="shared" si="259"/>
        <v>1210</v>
      </c>
      <c r="AM45" s="26">
        <f t="shared" si="259"/>
        <v>1210</v>
      </c>
      <c r="AN45" s="26">
        <f t="shared" si="259"/>
        <v>1210</v>
      </c>
      <c r="AO45" s="26">
        <f t="shared" si="259"/>
        <v>1210</v>
      </c>
      <c r="AP45" s="26">
        <f t="shared" si="259"/>
        <v>1210</v>
      </c>
      <c r="AQ45" s="26">
        <f t="shared" si="259"/>
        <v>1210</v>
      </c>
      <c r="AR45" s="26">
        <f t="shared" si="259"/>
        <v>1210</v>
      </c>
      <c r="AS45" s="26">
        <f t="shared" si="259"/>
        <v>1210</v>
      </c>
      <c r="AT45" s="19">
        <v>1.1000000000000001</v>
      </c>
      <c r="AU45" s="26">
        <f t="shared" si="281"/>
        <v>1331</v>
      </c>
      <c r="AV45" s="26">
        <f t="shared" ref="AV45:BF45" si="324">AU45</f>
        <v>1331</v>
      </c>
      <c r="AW45" s="26">
        <f t="shared" si="324"/>
        <v>1331</v>
      </c>
      <c r="AX45" s="26">
        <f t="shared" si="324"/>
        <v>1331</v>
      </c>
      <c r="AY45" s="26">
        <f t="shared" si="324"/>
        <v>1331</v>
      </c>
      <c r="AZ45" s="26">
        <f t="shared" si="324"/>
        <v>1331</v>
      </c>
      <c r="BA45" s="26">
        <f t="shared" si="324"/>
        <v>1331</v>
      </c>
      <c r="BB45" s="26">
        <f t="shared" si="324"/>
        <v>1331</v>
      </c>
      <c r="BC45" s="26">
        <f t="shared" si="324"/>
        <v>1331</v>
      </c>
      <c r="BD45" s="26">
        <f t="shared" si="324"/>
        <v>1331</v>
      </c>
      <c r="BE45" s="26">
        <f t="shared" si="324"/>
        <v>1331</v>
      </c>
      <c r="BF45" s="26">
        <f t="shared" si="324"/>
        <v>1331</v>
      </c>
      <c r="BG45" s="19">
        <v>1.1000000000000001</v>
      </c>
      <c r="BH45" s="26">
        <f t="shared" si="283"/>
        <v>1464.1000000000001</v>
      </c>
      <c r="BI45" s="26">
        <f t="shared" ref="BI45:BS45" si="325">BH45</f>
        <v>1464.1000000000001</v>
      </c>
      <c r="BJ45" s="26">
        <f t="shared" si="325"/>
        <v>1464.1000000000001</v>
      </c>
      <c r="BK45" s="26">
        <f t="shared" si="325"/>
        <v>1464.1000000000001</v>
      </c>
      <c r="BL45" s="26">
        <f t="shared" si="325"/>
        <v>1464.1000000000001</v>
      </c>
      <c r="BM45" s="26">
        <f t="shared" si="325"/>
        <v>1464.1000000000001</v>
      </c>
      <c r="BN45" s="26">
        <f t="shared" si="325"/>
        <v>1464.1000000000001</v>
      </c>
      <c r="BO45" s="26">
        <f t="shared" si="325"/>
        <v>1464.1000000000001</v>
      </c>
      <c r="BP45" s="26">
        <f t="shared" si="325"/>
        <v>1464.1000000000001</v>
      </c>
      <c r="BQ45" s="26">
        <f t="shared" si="325"/>
        <v>1464.1000000000001</v>
      </c>
      <c r="BR45" s="26">
        <f t="shared" si="325"/>
        <v>1464.1000000000001</v>
      </c>
      <c r="BS45" s="26">
        <f t="shared" si="325"/>
        <v>1464.1000000000001</v>
      </c>
      <c r="BT45" s="19">
        <v>1.1000000000000001</v>
      </c>
      <c r="BU45" s="26">
        <f t="shared" si="285"/>
        <v>1610.5100000000002</v>
      </c>
      <c r="BV45" s="26">
        <f t="shared" ref="BV45:CF45" si="326">BU45</f>
        <v>1610.5100000000002</v>
      </c>
      <c r="BW45" s="26">
        <f t="shared" si="326"/>
        <v>1610.5100000000002</v>
      </c>
      <c r="BX45" s="26">
        <f t="shared" si="326"/>
        <v>1610.5100000000002</v>
      </c>
      <c r="BY45" s="26">
        <f t="shared" si="326"/>
        <v>1610.5100000000002</v>
      </c>
      <c r="BZ45" s="26">
        <f t="shared" si="326"/>
        <v>1610.5100000000002</v>
      </c>
      <c r="CA45" s="26">
        <f t="shared" si="326"/>
        <v>1610.5100000000002</v>
      </c>
      <c r="CB45" s="26">
        <f t="shared" si="326"/>
        <v>1610.5100000000002</v>
      </c>
      <c r="CC45" s="26">
        <f t="shared" si="326"/>
        <v>1610.5100000000002</v>
      </c>
      <c r="CD45" s="26">
        <f t="shared" si="326"/>
        <v>1610.5100000000002</v>
      </c>
      <c r="CE45" s="26">
        <f t="shared" si="326"/>
        <v>1610.5100000000002</v>
      </c>
      <c r="CF45" s="26">
        <f t="shared" si="326"/>
        <v>1610.5100000000002</v>
      </c>
      <c r="CG45" s="311">
        <v>1.1000000000000001</v>
      </c>
      <c r="CH45" s="313">
        <f t="shared" si="287"/>
        <v>1771.5610000000004</v>
      </c>
      <c r="CI45" s="313">
        <f t="shared" ref="CI45:CS45" si="327">CH45</f>
        <v>1771.5610000000004</v>
      </c>
      <c r="CJ45" s="313">
        <f t="shared" si="327"/>
        <v>1771.5610000000004</v>
      </c>
      <c r="CK45" s="313">
        <f t="shared" si="327"/>
        <v>1771.5610000000004</v>
      </c>
      <c r="CL45" s="313">
        <f t="shared" si="327"/>
        <v>1771.5610000000004</v>
      </c>
      <c r="CM45" s="313">
        <f t="shared" si="327"/>
        <v>1771.5610000000004</v>
      </c>
      <c r="CN45" s="313">
        <f t="shared" si="327"/>
        <v>1771.5610000000004</v>
      </c>
      <c r="CO45" s="313">
        <f t="shared" si="327"/>
        <v>1771.5610000000004</v>
      </c>
      <c r="CP45" s="313">
        <f t="shared" si="327"/>
        <v>1771.5610000000004</v>
      </c>
      <c r="CQ45" s="313">
        <f t="shared" si="327"/>
        <v>1771.5610000000004</v>
      </c>
      <c r="CR45" s="313">
        <f t="shared" si="327"/>
        <v>1771.5610000000004</v>
      </c>
      <c r="CS45" s="313">
        <f t="shared" si="327"/>
        <v>1771.5610000000004</v>
      </c>
      <c r="CT45" s="311">
        <v>1.1000000000000001</v>
      </c>
      <c r="CU45" s="302">
        <f t="shared" si="289"/>
        <v>1948.7171000000005</v>
      </c>
      <c r="CV45" s="313">
        <f t="shared" ref="CV45:DF45" si="328">CU45</f>
        <v>1948.7171000000005</v>
      </c>
      <c r="CW45" s="313">
        <f t="shared" si="328"/>
        <v>1948.7171000000005</v>
      </c>
      <c r="CX45" s="313">
        <f t="shared" si="328"/>
        <v>1948.7171000000005</v>
      </c>
      <c r="CY45" s="313">
        <f t="shared" si="328"/>
        <v>1948.7171000000005</v>
      </c>
      <c r="CZ45" s="313">
        <f t="shared" si="328"/>
        <v>1948.7171000000005</v>
      </c>
      <c r="DA45" s="313">
        <f t="shared" si="328"/>
        <v>1948.7171000000005</v>
      </c>
      <c r="DB45" s="313">
        <f t="shared" si="328"/>
        <v>1948.7171000000005</v>
      </c>
      <c r="DC45" s="313">
        <f t="shared" si="328"/>
        <v>1948.7171000000005</v>
      </c>
      <c r="DD45" s="313">
        <f t="shared" si="328"/>
        <v>1948.7171000000005</v>
      </c>
      <c r="DE45" s="313">
        <f t="shared" si="328"/>
        <v>1948.7171000000005</v>
      </c>
      <c r="DF45" s="313">
        <f t="shared" si="328"/>
        <v>1948.7171000000005</v>
      </c>
    </row>
    <row r="46" spans="1:110" ht="16.5" thickBot="1">
      <c r="A46" s="16" t="s">
        <v>59</v>
      </c>
      <c r="B46" s="10" t="s">
        <v>60</v>
      </c>
      <c r="C46">
        <f>SUM(C47:C49)</f>
        <v>0</v>
      </c>
      <c r="D46" s="40">
        <f>SUM(D47:D49)</f>
        <v>0</v>
      </c>
      <c r="E46" s="40">
        <f t="shared" ref="E46:G46" si="329">SUM(E47:E49)</f>
        <v>0</v>
      </c>
      <c r="F46" s="40">
        <f t="shared" si="329"/>
        <v>1000</v>
      </c>
      <c r="G46" s="40">
        <f t="shared" si="329"/>
        <v>1000</v>
      </c>
      <c r="H46" s="40">
        <f>SUM(H47:H49)</f>
        <v>1000</v>
      </c>
      <c r="I46" s="40">
        <f t="shared" ref="I46:S46" si="330">SUM(I47:I49)</f>
        <v>1000</v>
      </c>
      <c r="J46" s="40">
        <f t="shared" si="330"/>
        <v>1000</v>
      </c>
      <c r="K46" s="40">
        <f t="shared" si="330"/>
        <v>1000</v>
      </c>
      <c r="L46" s="40">
        <f t="shared" si="330"/>
        <v>1000</v>
      </c>
      <c r="M46" s="40">
        <f t="shared" si="330"/>
        <v>1000</v>
      </c>
      <c r="N46" s="40">
        <f t="shared" si="330"/>
        <v>1000</v>
      </c>
      <c r="O46" s="40">
        <f t="shared" si="330"/>
        <v>1000</v>
      </c>
      <c r="P46" s="40">
        <f t="shared" si="330"/>
        <v>1000</v>
      </c>
      <c r="Q46" s="40">
        <f t="shared" si="330"/>
        <v>1000</v>
      </c>
      <c r="R46" s="40">
        <f t="shared" si="330"/>
        <v>1000</v>
      </c>
      <c r="S46" s="40">
        <f t="shared" si="330"/>
        <v>1000</v>
      </c>
      <c r="T46" s="5"/>
      <c r="U46" s="40">
        <f>SUM(U47:U49)</f>
        <v>1100</v>
      </c>
      <c r="V46" s="40">
        <f t="shared" ref="V46:AF46" si="331">SUM(V47:V49)</f>
        <v>1100</v>
      </c>
      <c r="W46" s="40">
        <f t="shared" si="331"/>
        <v>1100</v>
      </c>
      <c r="X46" s="40">
        <f t="shared" si="331"/>
        <v>1100</v>
      </c>
      <c r="Y46" s="40">
        <f t="shared" si="331"/>
        <v>1100</v>
      </c>
      <c r="Z46" s="40">
        <f t="shared" si="331"/>
        <v>1100</v>
      </c>
      <c r="AA46" s="40">
        <f t="shared" si="331"/>
        <v>1100</v>
      </c>
      <c r="AB46" s="40">
        <f t="shared" si="331"/>
        <v>1100</v>
      </c>
      <c r="AC46" s="40">
        <f t="shared" si="331"/>
        <v>1100</v>
      </c>
      <c r="AD46" s="40">
        <f t="shared" si="331"/>
        <v>1100</v>
      </c>
      <c r="AE46" s="40">
        <f t="shared" si="331"/>
        <v>1100</v>
      </c>
      <c r="AF46" s="40">
        <f t="shared" si="331"/>
        <v>1100</v>
      </c>
      <c r="AG46" s="5"/>
      <c r="AH46" s="40">
        <f>SUM(AH47:AH49)</f>
        <v>1210</v>
      </c>
      <c r="AI46" s="40">
        <f t="shared" ref="AI46:AS46" si="332">SUM(AI47:AI49)</f>
        <v>1210</v>
      </c>
      <c r="AJ46" s="40">
        <f t="shared" si="332"/>
        <v>1210</v>
      </c>
      <c r="AK46" s="40">
        <f t="shared" si="332"/>
        <v>1210</v>
      </c>
      <c r="AL46" s="40">
        <f t="shared" si="332"/>
        <v>1210</v>
      </c>
      <c r="AM46" s="40">
        <f t="shared" si="332"/>
        <v>1210</v>
      </c>
      <c r="AN46" s="40">
        <f t="shared" si="332"/>
        <v>1210</v>
      </c>
      <c r="AO46" s="40">
        <f t="shared" si="332"/>
        <v>1210</v>
      </c>
      <c r="AP46" s="40">
        <f t="shared" si="332"/>
        <v>1210</v>
      </c>
      <c r="AQ46" s="40">
        <f t="shared" si="332"/>
        <v>1210</v>
      </c>
      <c r="AR46" s="40">
        <f t="shared" si="332"/>
        <v>1210</v>
      </c>
      <c r="AS46" s="40">
        <f t="shared" si="332"/>
        <v>1210</v>
      </c>
      <c r="AT46" s="5"/>
      <c r="AU46" s="40">
        <f>SUM(AU47:AU49)</f>
        <v>1331</v>
      </c>
      <c r="AV46" s="40">
        <f t="shared" ref="AV46" si="333">SUM(AV47:AV49)</f>
        <v>1331</v>
      </c>
      <c r="AW46" s="40">
        <f t="shared" ref="AW46:BF46" si="334">SUM(AW47:AW49)</f>
        <v>1331</v>
      </c>
      <c r="AX46" s="40">
        <f t="shared" si="334"/>
        <v>1331</v>
      </c>
      <c r="AY46" s="40">
        <f t="shared" si="334"/>
        <v>1331</v>
      </c>
      <c r="AZ46" s="40">
        <f t="shared" si="334"/>
        <v>1331</v>
      </c>
      <c r="BA46" s="40">
        <f t="shared" si="334"/>
        <v>1331</v>
      </c>
      <c r="BB46" s="40">
        <f t="shared" si="334"/>
        <v>1331</v>
      </c>
      <c r="BC46" s="40">
        <f t="shared" si="334"/>
        <v>1331</v>
      </c>
      <c r="BD46" s="40">
        <f t="shared" si="334"/>
        <v>1331</v>
      </c>
      <c r="BE46" s="40">
        <f t="shared" si="334"/>
        <v>1331</v>
      </c>
      <c r="BF46" s="40">
        <f t="shared" si="334"/>
        <v>1331</v>
      </c>
      <c r="BG46" s="5"/>
      <c r="BH46" s="40">
        <f>SUM(BH47:BH49)</f>
        <v>1464.1000000000001</v>
      </c>
      <c r="BI46" s="40">
        <f t="shared" ref="BI46" si="335">SUM(BI47:BI49)</f>
        <v>1464.1000000000001</v>
      </c>
      <c r="BJ46" s="40">
        <f t="shared" ref="BJ46:BS46" si="336">SUM(BJ47:BJ49)</f>
        <v>1464.1000000000001</v>
      </c>
      <c r="BK46" s="40">
        <f t="shared" si="336"/>
        <v>1464.1000000000001</v>
      </c>
      <c r="BL46" s="40">
        <f t="shared" si="336"/>
        <v>1464.1000000000001</v>
      </c>
      <c r="BM46" s="40">
        <f t="shared" si="336"/>
        <v>1464.1000000000001</v>
      </c>
      <c r="BN46" s="40">
        <f t="shared" si="336"/>
        <v>1464.1000000000001</v>
      </c>
      <c r="BO46" s="40">
        <f t="shared" si="336"/>
        <v>1464.1000000000001</v>
      </c>
      <c r="BP46" s="40">
        <f t="shared" si="336"/>
        <v>1464.1000000000001</v>
      </c>
      <c r="BQ46" s="40">
        <f t="shared" si="336"/>
        <v>1464.1000000000001</v>
      </c>
      <c r="BR46" s="40">
        <f t="shared" si="336"/>
        <v>1464.1000000000001</v>
      </c>
      <c r="BS46" s="40">
        <f t="shared" si="336"/>
        <v>1464.1000000000001</v>
      </c>
      <c r="BT46" s="5"/>
      <c r="BU46" s="40">
        <f>SUM(BU47:BU49)</f>
        <v>1610.5100000000002</v>
      </c>
      <c r="BV46" s="40">
        <f t="shared" ref="BV46" si="337">SUM(BV47:BV49)</f>
        <v>1610.5100000000002</v>
      </c>
      <c r="BW46" s="40">
        <f t="shared" ref="BW46:CF46" si="338">SUM(BW47:BW49)</f>
        <v>1610.5100000000002</v>
      </c>
      <c r="BX46" s="40">
        <f t="shared" si="338"/>
        <v>1610.5100000000002</v>
      </c>
      <c r="BY46" s="40">
        <f t="shared" si="338"/>
        <v>1610.5100000000002</v>
      </c>
      <c r="BZ46" s="40">
        <f t="shared" si="338"/>
        <v>1610.5100000000002</v>
      </c>
      <c r="CA46" s="40">
        <f t="shared" si="338"/>
        <v>1610.5100000000002</v>
      </c>
      <c r="CB46" s="40">
        <f t="shared" si="338"/>
        <v>1610.5100000000002</v>
      </c>
      <c r="CC46" s="40">
        <f t="shared" si="338"/>
        <v>1610.5100000000002</v>
      </c>
      <c r="CD46" s="40">
        <f t="shared" si="338"/>
        <v>1610.5100000000002</v>
      </c>
      <c r="CE46" s="40">
        <f t="shared" si="338"/>
        <v>1610.5100000000002</v>
      </c>
      <c r="CF46" s="40">
        <f t="shared" si="338"/>
        <v>1610.5100000000002</v>
      </c>
      <c r="CH46" s="332">
        <f>SUM(CH47:CH49)</f>
        <v>1771.5610000000004</v>
      </c>
      <c r="CI46" s="332">
        <f t="shared" ref="CI46:CS46" si="339">SUM(CI47:CI49)</f>
        <v>1771.5610000000004</v>
      </c>
      <c r="CJ46" s="332">
        <f t="shared" si="339"/>
        <v>1771.5610000000004</v>
      </c>
      <c r="CK46" s="332">
        <f t="shared" si="339"/>
        <v>1771.5610000000004</v>
      </c>
      <c r="CL46" s="332">
        <f t="shared" si="339"/>
        <v>1771.5610000000004</v>
      </c>
      <c r="CM46" s="332">
        <f t="shared" si="339"/>
        <v>1771.5610000000004</v>
      </c>
      <c r="CN46" s="332">
        <f t="shared" si="339"/>
        <v>1771.5610000000004</v>
      </c>
      <c r="CO46" s="332">
        <f t="shared" si="339"/>
        <v>1771.5610000000004</v>
      </c>
      <c r="CP46" s="332">
        <f t="shared" si="339"/>
        <v>1771.5610000000004</v>
      </c>
      <c r="CQ46" s="332">
        <f t="shared" si="339"/>
        <v>1771.5610000000004</v>
      </c>
      <c r="CR46" s="332">
        <f t="shared" si="339"/>
        <v>1771.5610000000004</v>
      </c>
      <c r="CS46" s="332">
        <f t="shared" si="339"/>
        <v>1771.5610000000004</v>
      </c>
      <c r="CT46" s="50"/>
      <c r="CU46" s="332">
        <f>SUM(CU47:CU49)</f>
        <v>1948.7171000000005</v>
      </c>
      <c r="CV46" s="330">
        <f t="shared" ref="CV46:DF46" si="340">CU46</f>
        <v>1948.7171000000005</v>
      </c>
      <c r="CW46" s="331">
        <f t="shared" si="340"/>
        <v>1948.7171000000005</v>
      </c>
      <c r="CX46" s="331">
        <f t="shared" si="340"/>
        <v>1948.7171000000005</v>
      </c>
      <c r="CY46" s="331">
        <f t="shared" si="340"/>
        <v>1948.7171000000005</v>
      </c>
      <c r="CZ46" s="331">
        <f t="shared" si="340"/>
        <v>1948.7171000000005</v>
      </c>
      <c r="DA46" s="331">
        <f t="shared" si="340"/>
        <v>1948.7171000000005</v>
      </c>
      <c r="DB46" s="331">
        <f t="shared" si="340"/>
        <v>1948.7171000000005</v>
      </c>
      <c r="DC46" s="331">
        <f t="shared" si="340"/>
        <v>1948.7171000000005</v>
      </c>
      <c r="DD46" s="331">
        <f t="shared" si="340"/>
        <v>1948.7171000000005</v>
      </c>
      <c r="DE46" s="331">
        <f t="shared" si="340"/>
        <v>1948.7171000000005</v>
      </c>
      <c r="DF46" s="331">
        <f t="shared" si="340"/>
        <v>1948.7171000000005</v>
      </c>
    </row>
    <row r="47" spans="1:110" ht="15" thickBot="1">
      <c r="A47" s="19" t="s">
        <v>61</v>
      </c>
      <c r="B47" s="5" t="s">
        <v>62</v>
      </c>
      <c r="D47" s="26">
        <v>0</v>
      </c>
      <c r="E47" s="26">
        <v>0</v>
      </c>
      <c r="F47" s="26">
        <v>1000</v>
      </c>
      <c r="G47" s="26">
        <v>1000</v>
      </c>
      <c r="H47" s="26">
        <v>1000</v>
      </c>
      <c r="I47" s="26">
        <v>1000</v>
      </c>
      <c r="J47" s="26">
        <v>1000</v>
      </c>
      <c r="K47" s="26">
        <v>1000</v>
      </c>
      <c r="L47" s="26">
        <v>1000</v>
      </c>
      <c r="M47" s="26">
        <v>1000</v>
      </c>
      <c r="N47" s="26">
        <v>1000</v>
      </c>
      <c r="O47" s="26">
        <v>1000</v>
      </c>
      <c r="P47" s="26">
        <v>1000</v>
      </c>
      <c r="Q47" s="26">
        <v>1000</v>
      </c>
      <c r="R47" s="26">
        <v>1000</v>
      </c>
      <c r="S47" s="26">
        <v>1000</v>
      </c>
      <c r="T47" s="19">
        <v>1.1000000000000001</v>
      </c>
      <c r="U47" s="26">
        <f t="shared" ref="U47:U49" si="341">S47*T47</f>
        <v>1100</v>
      </c>
      <c r="V47" s="26">
        <f t="shared" ref="V47:AF47" si="342">U47</f>
        <v>1100</v>
      </c>
      <c r="W47" s="26">
        <f t="shared" si="342"/>
        <v>1100</v>
      </c>
      <c r="X47" s="26">
        <f t="shared" si="342"/>
        <v>1100</v>
      </c>
      <c r="Y47" s="26">
        <f t="shared" si="342"/>
        <v>1100</v>
      </c>
      <c r="Z47" s="26">
        <f t="shared" si="342"/>
        <v>1100</v>
      </c>
      <c r="AA47" s="26">
        <f t="shared" si="342"/>
        <v>1100</v>
      </c>
      <c r="AB47" s="26">
        <f t="shared" si="342"/>
        <v>1100</v>
      </c>
      <c r="AC47" s="26">
        <f t="shared" si="342"/>
        <v>1100</v>
      </c>
      <c r="AD47" s="26">
        <f t="shared" si="342"/>
        <v>1100</v>
      </c>
      <c r="AE47" s="26">
        <f t="shared" si="342"/>
        <v>1100</v>
      </c>
      <c r="AF47" s="26">
        <f t="shared" si="342"/>
        <v>1100</v>
      </c>
      <c r="AG47" s="19">
        <v>1.1000000000000001</v>
      </c>
      <c r="AH47" s="26">
        <f t="shared" ref="AH47" si="343">AF47*AG47</f>
        <v>1210</v>
      </c>
      <c r="AI47" s="26">
        <f t="shared" si="259"/>
        <v>1210</v>
      </c>
      <c r="AJ47" s="26">
        <f t="shared" si="259"/>
        <v>1210</v>
      </c>
      <c r="AK47" s="26">
        <f t="shared" si="259"/>
        <v>1210</v>
      </c>
      <c r="AL47" s="26">
        <f t="shared" si="259"/>
        <v>1210</v>
      </c>
      <c r="AM47" s="26">
        <f t="shared" si="259"/>
        <v>1210</v>
      </c>
      <c r="AN47" s="26">
        <f t="shared" si="259"/>
        <v>1210</v>
      </c>
      <c r="AO47" s="26">
        <f t="shared" si="259"/>
        <v>1210</v>
      </c>
      <c r="AP47" s="26">
        <f t="shared" si="259"/>
        <v>1210</v>
      </c>
      <c r="AQ47" s="26">
        <f t="shared" si="259"/>
        <v>1210</v>
      </c>
      <c r="AR47" s="26">
        <f t="shared" si="259"/>
        <v>1210</v>
      </c>
      <c r="AS47" s="26">
        <f t="shared" si="259"/>
        <v>1210</v>
      </c>
      <c r="AT47" s="19">
        <v>1.1000000000000001</v>
      </c>
      <c r="AU47" s="26">
        <f t="shared" ref="AU47" si="344">AS47*AT47</f>
        <v>1331</v>
      </c>
      <c r="AV47" s="26">
        <f t="shared" ref="AV47:BF47" si="345">AU47</f>
        <v>1331</v>
      </c>
      <c r="AW47" s="26">
        <f t="shared" si="345"/>
        <v>1331</v>
      </c>
      <c r="AX47" s="26">
        <f t="shared" si="345"/>
        <v>1331</v>
      </c>
      <c r="AY47" s="26">
        <f t="shared" si="345"/>
        <v>1331</v>
      </c>
      <c r="AZ47" s="26">
        <f t="shared" si="345"/>
        <v>1331</v>
      </c>
      <c r="BA47" s="26">
        <f t="shared" si="345"/>
        <v>1331</v>
      </c>
      <c r="BB47" s="26">
        <f t="shared" si="345"/>
        <v>1331</v>
      </c>
      <c r="BC47" s="26">
        <f t="shared" si="345"/>
        <v>1331</v>
      </c>
      <c r="BD47" s="26">
        <f t="shared" si="345"/>
        <v>1331</v>
      </c>
      <c r="BE47" s="26">
        <f t="shared" si="345"/>
        <v>1331</v>
      </c>
      <c r="BF47" s="26">
        <f t="shared" si="345"/>
        <v>1331</v>
      </c>
      <c r="BG47" s="19">
        <v>1.1000000000000001</v>
      </c>
      <c r="BH47" s="26">
        <f t="shared" ref="BH47" si="346">BF47*BG47</f>
        <v>1464.1000000000001</v>
      </c>
      <c r="BI47" s="26">
        <f t="shared" ref="BI47:BS47" si="347">BH47</f>
        <v>1464.1000000000001</v>
      </c>
      <c r="BJ47" s="26">
        <f t="shared" si="347"/>
        <v>1464.1000000000001</v>
      </c>
      <c r="BK47" s="26">
        <f t="shared" si="347"/>
        <v>1464.1000000000001</v>
      </c>
      <c r="BL47" s="26">
        <f t="shared" si="347"/>
        <v>1464.1000000000001</v>
      </c>
      <c r="BM47" s="26">
        <f t="shared" si="347"/>
        <v>1464.1000000000001</v>
      </c>
      <c r="BN47" s="26">
        <f t="shared" si="347"/>
        <v>1464.1000000000001</v>
      </c>
      <c r="BO47" s="26">
        <f t="shared" si="347"/>
        <v>1464.1000000000001</v>
      </c>
      <c r="BP47" s="26">
        <f t="shared" si="347"/>
        <v>1464.1000000000001</v>
      </c>
      <c r="BQ47" s="26">
        <f t="shared" si="347"/>
        <v>1464.1000000000001</v>
      </c>
      <c r="BR47" s="26">
        <f t="shared" si="347"/>
        <v>1464.1000000000001</v>
      </c>
      <c r="BS47" s="26">
        <f t="shared" si="347"/>
        <v>1464.1000000000001</v>
      </c>
      <c r="BT47" s="19">
        <v>1.1000000000000001</v>
      </c>
      <c r="BU47" s="26">
        <f t="shared" ref="BU47" si="348">BS47*BT47</f>
        <v>1610.5100000000002</v>
      </c>
      <c r="BV47" s="26">
        <f t="shared" ref="BV47:CF47" si="349">BU47</f>
        <v>1610.5100000000002</v>
      </c>
      <c r="BW47" s="26">
        <f t="shared" si="349"/>
        <v>1610.5100000000002</v>
      </c>
      <c r="BX47" s="26">
        <f t="shared" si="349"/>
        <v>1610.5100000000002</v>
      </c>
      <c r="BY47" s="26">
        <f t="shared" si="349"/>
        <v>1610.5100000000002</v>
      </c>
      <c r="BZ47" s="26">
        <f t="shared" si="349"/>
        <v>1610.5100000000002</v>
      </c>
      <c r="CA47" s="26">
        <f t="shared" si="349"/>
        <v>1610.5100000000002</v>
      </c>
      <c r="CB47" s="26">
        <f t="shared" si="349"/>
        <v>1610.5100000000002</v>
      </c>
      <c r="CC47" s="26">
        <f t="shared" si="349"/>
        <v>1610.5100000000002</v>
      </c>
      <c r="CD47" s="26">
        <f t="shared" si="349"/>
        <v>1610.5100000000002</v>
      </c>
      <c r="CE47" s="26">
        <f t="shared" si="349"/>
        <v>1610.5100000000002</v>
      </c>
      <c r="CF47" s="26">
        <f t="shared" si="349"/>
        <v>1610.5100000000002</v>
      </c>
      <c r="CG47" s="311">
        <v>1.1000000000000001</v>
      </c>
      <c r="CH47" s="302">
        <f>CF47*CG47</f>
        <v>1771.5610000000004</v>
      </c>
      <c r="CI47" s="302">
        <f t="shared" ref="CI47:CS47" si="350">CH47</f>
        <v>1771.5610000000004</v>
      </c>
      <c r="CJ47" s="302">
        <f t="shared" si="350"/>
        <v>1771.5610000000004</v>
      </c>
      <c r="CK47" s="302">
        <f t="shared" si="350"/>
        <v>1771.5610000000004</v>
      </c>
      <c r="CL47" s="302">
        <f t="shared" si="350"/>
        <v>1771.5610000000004</v>
      </c>
      <c r="CM47" s="302">
        <f t="shared" si="350"/>
        <v>1771.5610000000004</v>
      </c>
      <c r="CN47" s="302">
        <f t="shared" si="350"/>
        <v>1771.5610000000004</v>
      </c>
      <c r="CO47" s="302">
        <f t="shared" si="350"/>
        <v>1771.5610000000004</v>
      </c>
      <c r="CP47" s="302">
        <f t="shared" si="350"/>
        <v>1771.5610000000004</v>
      </c>
      <c r="CQ47" s="302">
        <f t="shared" si="350"/>
        <v>1771.5610000000004</v>
      </c>
      <c r="CR47" s="302">
        <f t="shared" si="350"/>
        <v>1771.5610000000004</v>
      </c>
      <c r="CS47" s="302">
        <f t="shared" si="350"/>
        <v>1771.5610000000004</v>
      </c>
      <c r="CT47" s="311">
        <v>1.1000000000000001</v>
      </c>
      <c r="CU47" s="302">
        <f>CS47*CT47</f>
        <v>1948.7171000000005</v>
      </c>
      <c r="CV47" s="302">
        <f t="shared" ref="CV47:DF47" si="351">CU47</f>
        <v>1948.7171000000005</v>
      </c>
      <c r="CW47" s="313">
        <f t="shared" si="351"/>
        <v>1948.7171000000005</v>
      </c>
      <c r="CX47" s="313">
        <f t="shared" si="351"/>
        <v>1948.7171000000005</v>
      </c>
      <c r="CY47" s="313">
        <f t="shared" si="351"/>
        <v>1948.7171000000005</v>
      </c>
      <c r="CZ47" s="313">
        <f t="shared" si="351"/>
        <v>1948.7171000000005</v>
      </c>
      <c r="DA47" s="313">
        <f t="shared" si="351"/>
        <v>1948.7171000000005</v>
      </c>
      <c r="DB47" s="313">
        <f t="shared" si="351"/>
        <v>1948.7171000000005</v>
      </c>
      <c r="DC47" s="313">
        <f t="shared" si="351"/>
        <v>1948.7171000000005</v>
      </c>
      <c r="DD47" s="313">
        <f t="shared" si="351"/>
        <v>1948.7171000000005</v>
      </c>
      <c r="DE47" s="313">
        <f t="shared" si="351"/>
        <v>1948.7171000000005</v>
      </c>
      <c r="DF47" s="313">
        <f t="shared" si="351"/>
        <v>1948.7171000000005</v>
      </c>
    </row>
    <row r="48" spans="1:110" ht="15" thickBot="1">
      <c r="A48" s="19" t="s">
        <v>63</v>
      </c>
      <c r="B48" s="5" t="s">
        <v>64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19">
        <v>1.1000000000000001</v>
      </c>
      <c r="U48" s="26">
        <f t="shared" si="341"/>
        <v>0</v>
      </c>
      <c r="V48" s="26">
        <f t="shared" ref="V48:AF48" si="352">U48</f>
        <v>0</v>
      </c>
      <c r="W48" s="26">
        <f t="shared" si="352"/>
        <v>0</v>
      </c>
      <c r="X48" s="26">
        <f t="shared" si="352"/>
        <v>0</v>
      </c>
      <c r="Y48" s="26">
        <f t="shared" si="352"/>
        <v>0</v>
      </c>
      <c r="Z48" s="26">
        <f t="shared" si="352"/>
        <v>0</v>
      </c>
      <c r="AA48" s="26">
        <f t="shared" si="352"/>
        <v>0</v>
      </c>
      <c r="AB48" s="26">
        <f t="shared" si="352"/>
        <v>0</v>
      </c>
      <c r="AC48" s="26">
        <f t="shared" si="352"/>
        <v>0</v>
      </c>
      <c r="AD48" s="26">
        <f t="shared" si="352"/>
        <v>0</v>
      </c>
      <c r="AE48" s="26">
        <f t="shared" si="352"/>
        <v>0</v>
      </c>
      <c r="AF48" s="26">
        <f t="shared" si="352"/>
        <v>0</v>
      </c>
      <c r="AG48" s="5"/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5"/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5"/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5"/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0</v>
      </c>
      <c r="CH48" s="313">
        <v>0</v>
      </c>
      <c r="CI48" s="313">
        <v>0</v>
      </c>
      <c r="CJ48" s="313">
        <v>0</v>
      </c>
      <c r="CK48" s="313">
        <v>0</v>
      </c>
      <c r="CL48" s="313">
        <v>0</v>
      </c>
      <c r="CM48" s="313">
        <v>0</v>
      </c>
      <c r="CN48" s="313">
        <v>0</v>
      </c>
      <c r="CO48" s="313">
        <v>0</v>
      </c>
      <c r="CP48" s="313">
        <v>0</v>
      </c>
      <c r="CQ48" s="313">
        <v>0</v>
      </c>
      <c r="CR48" s="313">
        <v>0</v>
      </c>
      <c r="CS48" s="313">
        <v>0</v>
      </c>
      <c r="CU48" s="313">
        <v>0</v>
      </c>
      <c r="CV48" s="313">
        <v>0</v>
      </c>
      <c r="CW48" s="313">
        <v>0</v>
      </c>
      <c r="CX48" s="313">
        <v>0</v>
      </c>
      <c r="CY48" s="313">
        <v>0</v>
      </c>
      <c r="CZ48" s="313">
        <v>0</v>
      </c>
      <c r="DA48" s="313">
        <v>0</v>
      </c>
      <c r="DB48" s="313">
        <v>0</v>
      </c>
      <c r="DC48" s="313">
        <v>0</v>
      </c>
      <c r="DD48" s="313">
        <v>0</v>
      </c>
      <c r="DE48" s="313">
        <v>0</v>
      </c>
      <c r="DF48" s="313">
        <v>0</v>
      </c>
    </row>
    <row r="49" spans="1:110" ht="15" thickBot="1">
      <c r="A49" s="19" t="s">
        <v>65</v>
      </c>
      <c r="B49" s="5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19">
        <v>1.1000000000000001</v>
      </c>
      <c r="U49" s="26">
        <f t="shared" si="341"/>
        <v>0</v>
      </c>
      <c r="V49" s="26">
        <f t="shared" ref="V49:AF49" si="353">U49</f>
        <v>0</v>
      </c>
      <c r="W49" s="26">
        <f t="shared" si="353"/>
        <v>0</v>
      </c>
      <c r="X49" s="26">
        <f t="shared" si="353"/>
        <v>0</v>
      </c>
      <c r="Y49" s="26">
        <f t="shared" si="353"/>
        <v>0</v>
      </c>
      <c r="Z49" s="26">
        <f t="shared" si="353"/>
        <v>0</v>
      </c>
      <c r="AA49" s="26">
        <f t="shared" si="353"/>
        <v>0</v>
      </c>
      <c r="AB49" s="26">
        <f t="shared" si="353"/>
        <v>0</v>
      </c>
      <c r="AC49" s="26">
        <f t="shared" si="353"/>
        <v>0</v>
      </c>
      <c r="AD49" s="26">
        <f t="shared" si="353"/>
        <v>0</v>
      </c>
      <c r="AE49" s="26">
        <f t="shared" si="353"/>
        <v>0</v>
      </c>
      <c r="AF49" s="26">
        <f t="shared" si="353"/>
        <v>0</v>
      </c>
      <c r="AG49" s="5"/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5"/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5"/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0</v>
      </c>
      <c r="BQ49" s="26">
        <v>0</v>
      </c>
      <c r="BR49" s="26">
        <v>0</v>
      </c>
      <c r="BS49" s="26">
        <v>0</v>
      </c>
      <c r="BT49" s="5"/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0</v>
      </c>
      <c r="CC49" s="26">
        <v>0</v>
      </c>
      <c r="CD49" s="26">
        <v>0</v>
      </c>
      <c r="CE49" s="26">
        <v>0</v>
      </c>
      <c r="CF49" s="26">
        <v>0</v>
      </c>
      <c r="CH49" s="310" t="s">
        <v>591</v>
      </c>
      <c r="CI49" s="310" t="s">
        <v>591</v>
      </c>
      <c r="CJ49" s="310" t="s">
        <v>591</v>
      </c>
      <c r="CK49" s="310" t="s">
        <v>591</v>
      </c>
      <c r="CL49" s="310" t="s">
        <v>591</v>
      </c>
      <c r="CM49" s="310" t="s">
        <v>591</v>
      </c>
      <c r="CN49" s="310" t="s">
        <v>591</v>
      </c>
      <c r="CO49" s="310" t="s">
        <v>591</v>
      </c>
      <c r="CP49" s="310" t="s">
        <v>591</v>
      </c>
      <c r="CQ49" s="310" t="s">
        <v>591</v>
      </c>
      <c r="CR49" s="310" t="s">
        <v>591</v>
      </c>
      <c r="CS49" s="310" t="s">
        <v>591</v>
      </c>
      <c r="CU49" s="313">
        <v>0</v>
      </c>
      <c r="CV49" s="313">
        <v>0</v>
      </c>
      <c r="CW49" s="313">
        <v>0</v>
      </c>
      <c r="CX49" s="313">
        <v>0</v>
      </c>
      <c r="CY49" s="313">
        <v>0</v>
      </c>
      <c r="CZ49" s="313">
        <v>0</v>
      </c>
      <c r="DA49" s="313">
        <v>0</v>
      </c>
      <c r="DB49" s="313">
        <v>0</v>
      </c>
      <c r="DC49" s="313">
        <v>0</v>
      </c>
      <c r="DD49" s="313">
        <v>0</v>
      </c>
      <c r="DE49" s="313">
        <v>0</v>
      </c>
      <c r="DF49" s="313">
        <v>0</v>
      </c>
    </row>
    <row r="50" spans="1:110" ht="15.75" thickBot="1">
      <c r="A50" s="16" t="s">
        <v>67</v>
      </c>
      <c r="B50" s="10" t="s">
        <v>68</v>
      </c>
      <c r="C50">
        <f>SUM(C51:C52)</f>
        <v>0</v>
      </c>
      <c r="D50" s="39">
        <f>SUM(D51:D52)</f>
        <v>0</v>
      </c>
      <c r="E50" s="39">
        <f t="shared" ref="E50:G50" si="354">SUM(E51:E52)</f>
        <v>0</v>
      </c>
      <c r="F50" s="39">
        <f t="shared" si="354"/>
        <v>2064.7668750000003</v>
      </c>
      <c r="G50" s="39">
        <f t="shared" si="354"/>
        <v>2064.7668750000003</v>
      </c>
      <c r="H50" s="39">
        <f>SUM(H51:H52)</f>
        <v>2818.1462499999998</v>
      </c>
      <c r="I50" s="39">
        <f>SUM(I51:I52)</f>
        <v>2818.1462499999998</v>
      </c>
      <c r="J50" s="39">
        <f t="shared" ref="J50:S50" si="355">SUM(J51:J52)</f>
        <v>2818.1462499999998</v>
      </c>
      <c r="K50" s="39">
        <f t="shared" si="355"/>
        <v>2818.1462499999998</v>
      </c>
      <c r="L50" s="39">
        <f t="shared" si="355"/>
        <v>2818.1462499999998</v>
      </c>
      <c r="M50" s="39">
        <f t="shared" si="355"/>
        <v>2818.1462499999998</v>
      </c>
      <c r="N50" s="39">
        <f t="shared" si="355"/>
        <v>2818.1462499999998</v>
      </c>
      <c r="O50" s="39">
        <f t="shared" si="355"/>
        <v>2818.1462499999998</v>
      </c>
      <c r="P50" s="39">
        <f t="shared" si="355"/>
        <v>2818.1462499999998</v>
      </c>
      <c r="Q50" s="39">
        <f t="shared" si="355"/>
        <v>2818.1462499999998</v>
      </c>
      <c r="R50" s="39">
        <f t="shared" si="355"/>
        <v>2818.1462499999998</v>
      </c>
      <c r="S50" s="39">
        <f t="shared" si="355"/>
        <v>2818.1462499999998</v>
      </c>
      <c r="T50" s="5"/>
      <c r="U50" s="39">
        <f>SUM(U51:U52)</f>
        <v>4016.8156250000002</v>
      </c>
      <c r="V50" s="39">
        <f t="shared" ref="V50:AF50" si="356">SUM(V51:V52)</f>
        <v>4016.8156250000002</v>
      </c>
      <c r="W50" s="39">
        <f t="shared" si="356"/>
        <v>4016.8156250000002</v>
      </c>
      <c r="X50" s="39">
        <f t="shared" si="356"/>
        <v>4016.8156250000002</v>
      </c>
      <c r="Y50" s="39">
        <f t="shared" si="356"/>
        <v>4016.8156250000002</v>
      </c>
      <c r="Z50" s="39">
        <f t="shared" si="356"/>
        <v>4016.8156250000002</v>
      </c>
      <c r="AA50" s="39">
        <f t="shared" si="356"/>
        <v>4016.8156250000002</v>
      </c>
      <c r="AB50" s="39">
        <f t="shared" si="356"/>
        <v>4016.8156250000002</v>
      </c>
      <c r="AC50" s="39">
        <f t="shared" si="356"/>
        <v>4016.8156250000002</v>
      </c>
      <c r="AD50" s="39">
        <f t="shared" si="356"/>
        <v>4016.8156250000002</v>
      </c>
      <c r="AE50" s="39">
        <f t="shared" si="356"/>
        <v>4016.8156250000002</v>
      </c>
      <c r="AF50" s="39">
        <f t="shared" si="356"/>
        <v>4016.8156250000002</v>
      </c>
      <c r="AG50" s="5"/>
      <c r="AH50" s="39">
        <f>SUM(AH51:AH52)</f>
        <v>5385.755000000001</v>
      </c>
      <c r="AI50" s="39">
        <f t="shared" ref="AI50:AS50" si="357">SUM(AI51:AI52)</f>
        <v>5385.755000000001</v>
      </c>
      <c r="AJ50" s="39">
        <f t="shared" si="357"/>
        <v>5385.755000000001</v>
      </c>
      <c r="AK50" s="39">
        <f t="shared" si="357"/>
        <v>5385.755000000001</v>
      </c>
      <c r="AL50" s="39">
        <f t="shared" si="357"/>
        <v>5385.755000000001</v>
      </c>
      <c r="AM50" s="39">
        <f t="shared" si="357"/>
        <v>5385.755000000001</v>
      </c>
      <c r="AN50" s="39">
        <f t="shared" si="357"/>
        <v>5385.755000000001</v>
      </c>
      <c r="AO50" s="39">
        <f t="shared" si="357"/>
        <v>5385.755000000001</v>
      </c>
      <c r="AP50" s="39">
        <f t="shared" si="357"/>
        <v>5385.755000000001</v>
      </c>
      <c r="AQ50" s="39">
        <f t="shared" si="357"/>
        <v>5385.755000000001</v>
      </c>
      <c r="AR50" s="39">
        <f t="shared" si="357"/>
        <v>5385.755000000001</v>
      </c>
      <c r="AS50" s="39">
        <f t="shared" si="357"/>
        <v>5385.755000000001</v>
      </c>
      <c r="AT50" s="5"/>
      <c r="AU50" s="39">
        <f>SUM(AU51:AU52)</f>
        <v>6388.6142500000005</v>
      </c>
      <c r="AV50" s="39">
        <f t="shared" ref="AV50" si="358">SUM(AV51:AV52)</f>
        <v>6388.6142500000005</v>
      </c>
      <c r="AW50" s="39">
        <f t="shared" ref="AW50:BF50" si="359">SUM(AW51:AW52)</f>
        <v>6388.6142500000005</v>
      </c>
      <c r="AX50" s="39">
        <f t="shared" si="359"/>
        <v>6388.6142500000005</v>
      </c>
      <c r="AY50" s="39">
        <f t="shared" si="359"/>
        <v>6388.6142500000005</v>
      </c>
      <c r="AZ50" s="39">
        <f t="shared" si="359"/>
        <v>6388.6142500000005</v>
      </c>
      <c r="BA50" s="39">
        <f t="shared" si="359"/>
        <v>6388.6142500000005</v>
      </c>
      <c r="BB50" s="39">
        <f t="shared" si="359"/>
        <v>6388.6142500000005</v>
      </c>
      <c r="BC50" s="39">
        <f t="shared" si="359"/>
        <v>6388.6142500000005</v>
      </c>
      <c r="BD50" s="39">
        <f t="shared" si="359"/>
        <v>6388.6142500000005</v>
      </c>
      <c r="BE50" s="39">
        <f t="shared" si="359"/>
        <v>6388.6142500000005</v>
      </c>
      <c r="BF50" s="39">
        <f t="shared" si="359"/>
        <v>6388.6142500000005</v>
      </c>
      <c r="BG50" s="5"/>
      <c r="BH50" s="39">
        <f>SUM(BH51:BH52)</f>
        <v>7414.3788000000004</v>
      </c>
      <c r="BI50" s="39">
        <f t="shared" ref="BI50" si="360">SUM(BI51:BI52)</f>
        <v>7414.3788000000004</v>
      </c>
      <c r="BJ50" s="39">
        <f t="shared" ref="BJ50:BS50" si="361">SUM(BJ51:BJ52)</f>
        <v>7414.3788000000004</v>
      </c>
      <c r="BK50" s="39">
        <f t="shared" si="361"/>
        <v>7414.3788000000004</v>
      </c>
      <c r="BL50" s="39">
        <f t="shared" si="361"/>
        <v>7414.3788000000004</v>
      </c>
      <c r="BM50" s="39">
        <f t="shared" si="361"/>
        <v>7414.3788000000004</v>
      </c>
      <c r="BN50" s="39">
        <f t="shared" si="361"/>
        <v>7414.3788000000004</v>
      </c>
      <c r="BO50" s="39">
        <f t="shared" si="361"/>
        <v>7414.3788000000004</v>
      </c>
      <c r="BP50" s="39">
        <f t="shared" si="361"/>
        <v>7414.3788000000004</v>
      </c>
      <c r="BQ50" s="39">
        <f t="shared" si="361"/>
        <v>7414.3788000000004</v>
      </c>
      <c r="BR50" s="39">
        <f t="shared" si="361"/>
        <v>7414.3788000000004</v>
      </c>
      <c r="BS50" s="39">
        <f t="shared" si="361"/>
        <v>7414.3788000000004</v>
      </c>
      <c r="BT50" s="5"/>
      <c r="BU50" s="39">
        <f>SUM(BU51:BU52)</f>
        <v>8465.3391800000009</v>
      </c>
      <c r="BV50" s="39">
        <f t="shared" ref="BV50" si="362">SUM(BV51:BV52)</f>
        <v>8465.3391800000009</v>
      </c>
      <c r="BW50" s="39">
        <f t="shared" ref="BW50:CE50" si="363">SUM(BW51:BW52)</f>
        <v>8465.3391800000009</v>
      </c>
      <c r="BX50" s="39">
        <f t="shared" si="363"/>
        <v>8465.3391800000009</v>
      </c>
      <c r="BY50" s="39">
        <f t="shared" si="363"/>
        <v>8465.3391800000009</v>
      </c>
      <c r="BZ50" s="39">
        <f t="shared" si="363"/>
        <v>8465.3391800000009</v>
      </c>
      <c r="CA50" s="39">
        <f t="shared" si="363"/>
        <v>8465.3391800000009</v>
      </c>
      <c r="CB50" s="39">
        <f t="shared" si="363"/>
        <v>8465.3391800000009</v>
      </c>
      <c r="CC50" s="39">
        <f t="shared" si="363"/>
        <v>8465.3391800000009</v>
      </c>
      <c r="CD50" s="39">
        <f t="shared" si="363"/>
        <v>8465.3391800000009</v>
      </c>
      <c r="CE50" s="39">
        <f t="shared" si="363"/>
        <v>8465.3391800000009</v>
      </c>
      <c r="CF50" s="39">
        <f>SUM(CF51:CF52)</f>
        <v>8465.3391800000009</v>
      </c>
      <c r="CH50" s="312">
        <f>SUM(CH51:CH52)</f>
        <v>8770.2087229999997</v>
      </c>
      <c r="CI50" s="312">
        <f t="shared" ref="CI50:CS50" si="364">SUM(CI51:CI52)</f>
        <v>8770.2087229999997</v>
      </c>
      <c r="CJ50" s="312">
        <f t="shared" si="364"/>
        <v>8770.2087229999997</v>
      </c>
      <c r="CK50" s="312">
        <f t="shared" si="364"/>
        <v>8770.2087229999997</v>
      </c>
      <c r="CL50" s="312">
        <f t="shared" si="364"/>
        <v>8770.2087229999997</v>
      </c>
      <c r="CM50" s="312">
        <f t="shared" si="364"/>
        <v>8770.2087229999997</v>
      </c>
      <c r="CN50" s="312">
        <f t="shared" si="364"/>
        <v>8770.2087229999997</v>
      </c>
      <c r="CO50" s="312">
        <f t="shared" si="364"/>
        <v>8770.2087229999997</v>
      </c>
      <c r="CP50" s="312">
        <f t="shared" si="364"/>
        <v>8770.2087229999997</v>
      </c>
      <c r="CQ50" s="312">
        <f t="shared" si="364"/>
        <v>8770.2087229999997</v>
      </c>
      <c r="CR50" s="312">
        <f t="shared" si="364"/>
        <v>8770.2087229999997</v>
      </c>
      <c r="CS50" s="312">
        <f t="shared" si="364"/>
        <v>8770.2087229999997</v>
      </c>
      <c r="CU50" s="333">
        <f>SUM(CU51:CU52)</f>
        <v>9492.4683452999998</v>
      </c>
      <c r="CV50" s="333">
        <f t="shared" ref="CV50:DF50" si="365">SUM(CV51:CV52)</f>
        <v>9492.4683452999998</v>
      </c>
      <c r="CW50" s="333">
        <f t="shared" si="365"/>
        <v>9492.4683452999998</v>
      </c>
      <c r="CX50" s="333">
        <f t="shared" si="365"/>
        <v>9492.4683452999998</v>
      </c>
      <c r="CY50" s="333">
        <f t="shared" si="365"/>
        <v>9492.4683452999998</v>
      </c>
      <c r="CZ50" s="333">
        <f t="shared" si="365"/>
        <v>9492.4683452999998</v>
      </c>
      <c r="DA50" s="333">
        <f t="shared" si="365"/>
        <v>9492.4683452999998</v>
      </c>
      <c r="DB50" s="333">
        <f t="shared" si="365"/>
        <v>9492.4683452999998</v>
      </c>
      <c r="DC50" s="333">
        <f t="shared" si="365"/>
        <v>9492.4683452999998</v>
      </c>
      <c r="DD50" s="333">
        <f t="shared" si="365"/>
        <v>9492.4683452999998</v>
      </c>
      <c r="DE50" s="333">
        <f t="shared" si="365"/>
        <v>9492.4683452999998</v>
      </c>
      <c r="DF50" s="333">
        <f t="shared" si="365"/>
        <v>9492.4683452999998</v>
      </c>
    </row>
    <row r="51" spans="1:110" ht="15" thickBot="1">
      <c r="A51" s="19" t="s">
        <v>70</v>
      </c>
      <c r="B51" s="5" t="s">
        <v>71</v>
      </c>
      <c r="D51" s="41"/>
      <c r="E51" s="41"/>
      <c r="F51" s="41">
        <f>'Cálcul. trabalhado'!I12</f>
        <v>171.76687500000003</v>
      </c>
      <c r="G51" s="41">
        <f>F51</f>
        <v>171.76687500000003</v>
      </c>
      <c r="H51" s="41">
        <f>'Cálcul. trabalhado'!I13</f>
        <v>925.14625000000001</v>
      </c>
      <c r="I51" s="41">
        <f t="shared" ref="I51:S51" si="366">H51</f>
        <v>925.14625000000001</v>
      </c>
      <c r="J51" s="41">
        <f t="shared" si="366"/>
        <v>925.14625000000001</v>
      </c>
      <c r="K51" s="41">
        <f t="shared" si="366"/>
        <v>925.14625000000001</v>
      </c>
      <c r="L51" s="41">
        <f t="shared" si="366"/>
        <v>925.14625000000001</v>
      </c>
      <c r="M51" s="41">
        <f t="shared" si="366"/>
        <v>925.14625000000001</v>
      </c>
      <c r="N51" s="41">
        <f t="shared" si="366"/>
        <v>925.14625000000001</v>
      </c>
      <c r="O51" s="41">
        <f t="shared" si="366"/>
        <v>925.14625000000001</v>
      </c>
      <c r="P51" s="41">
        <f t="shared" si="366"/>
        <v>925.14625000000001</v>
      </c>
      <c r="Q51" s="41">
        <f t="shared" si="366"/>
        <v>925.14625000000001</v>
      </c>
      <c r="R51" s="41">
        <f t="shared" si="366"/>
        <v>925.14625000000001</v>
      </c>
      <c r="S51" s="41">
        <f t="shared" si="366"/>
        <v>925.14625000000001</v>
      </c>
      <c r="T51" s="19" t="s">
        <v>206</v>
      </c>
      <c r="U51" s="41">
        <f>'Cálcul. trabalhado'!I14</f>
        <v>1934.515625</v>
      </c>
      <c r="V51" s="41">
        <f t="shared" ref="V51:AF51" si="367">U51</f>
        <v>1934.515625</v>
      </c>
      <c r="W51" s="41">
        <f t="shared" si="367"/>
        <v>1934.515625</v>
      </c>
      <c r="X51" s="41">
        <f t="shared" si="367"/>
        <v>1934.515625</v>
      </c>
      <c r="Y51" s="41">
        <f t="shared" si="367"/>
        <v>1934.515625</v>
      </c>
      <c r="Z51" s="41">
        <f t="shared" si="367"/>
        <v>1934.515625</v>
      </c>
      <c r="AA51" s="41">
        <f t="shared" si="367"/>
        <v>1934.515625</v>
      </c>
      <c r="AB51" s="41">
        <f t="shared" si="367"/>
        <v>1934.515625</v>
      </c>
      <c r="AC51" s="41">
        <f t="shared" si="367"/>
        <v>1934.515625</v>
      </c>
      <c r="AD51" s="41">
        <f t="shared" si="367"/>
        <v>1934.515625</v>
      </c>
      <c r="AE51" s="41">
        <f t="shared" si="367"/>
        <v>1934.515625</v>
      </c>
      <c r="AF51" s="41">
        <f t="shared" si="367"/>
        <v>1934.515625</v>
      </c>
      <c r="AG51" s="19" t="s">
        <v>206</v>
      </c>
      <c r="AH51" s="41">
        <f>'Cálcul. trabalhado'!I15</f>
        <v>3095.2250000000004</v>
      </c>
      <c r="AI51" s="41">
        <f t="shared" ref="AI51:AS51" si="368">AH51</f>
        <v>3095.2250000000004</v>
      </c>
      <c r="AJ51" s="41">
        <f t="shared" si="368"/>
        <v>3095.2250000000004</v>
      </c>
      <c r="AK51" s="41">
        <f t="shared" si="368"/>
        <v>3095.2250000000004</v>
      </c>
      <c r="AL51" s="41">
        <f t="shared" si="368"/>
        <v>3095.2250000000004</v>
      </c>
      <c r="AM51" s="41">
        <f t="shared" si="368"/>
        <v>3095.2250000000004</v>
      </c>
      <c r="AN51" s="41">
        <f t="shared" si="368"/>
        <v>3095.2250000000004</v>
      </c>
      <c r="AO51" s="41">
        <f t="shared" si="368"/>
        <v>3095.2250000000004</v>
      </c>
      <c r="AP51" s="41">
        <f t="shared" si="368"/>
        <v>3095.2250000000004</v>
      </c>
      <c r="AQ51" s="41">
        <f t="shared" si="368"/>
        <v>3095.2250000000004</v>
      </c>
      <c r="AR51" s="41">
        <f t="shared" si="368"/>
        <v>3095.2250000000004</v>
      </c>
      <c r="AS51" s="41">
        <f t="shared" si="368"/>
        <v>3095.2250000000004</v>
      </c>
      <c r="AT51" s="19" t="s">
        <v>206</v>
      </c>
      <c r="AU51" s="41">
        <f>'Cálcul. trabalhado'!I16</f>
        <v>3869.03125</v>
      </c>
      <c r="AV51" s="41">
        <f t="shared" ref="AV51:BF51" si="369">AU51</f>
        <v>3869.03125</v>
      </c>
      <c r="AW51" s="41">
        <f t="shared" si="369"/>
        <v>3869.03125</v>
      </c>
      <c r="AX51" s="41">
        <f t="shared" si="369"/>
        <v>3869.03125</v>
      </c>
      <c r="AY51" s="41">
        <f t="shared" si="369"/>
        <v>3869.03125</v>
      </c>
      <c r="AZ51" s="41">
        <f t="shared" si="369"/>
        <v>3869.03125</v>
      </c>
      <c r="BA51" s="41">
        <f t="shared" si="369"/>
        <v>3869.03125</v>
      </c>
      <c r="BB51" s="41">
        <f t="shared" si="369"/>
        <v>3869.03125</v>
      </c>
      <c r="BC51" s="41">
        <f t="shared" si="369"/>
        <v>3869.03125</v>
      </c>
      <c r="BD51" s="41">
        <f t="shared" si="369"/>
        <v>3869.03125</v>
      </c>
      <c r="BE51" s="41">
        <f t="shared" si="369"/>
        <v>3869.03125</v>
      </c>
      <c r="BF51" s="41">
        <f t="shared" si="369"/>
        <v>3869.03125</v>
      </c>
      <c r="BG51" s="19" t="s">
        <v>206</v>
      </c>
      <c r="BH51" s="41">
        <f>'Cálcul. trabalhado'!I17</f>
        <v>4642.8374999999996</v>
      </c>
      <c r="BI51" s="41">
        <f t="shared" ref="BI51:BS51" si="370">BH51</f>
        <v>4642.8374999999996</v>
      </c>
      <c r="BJ51" s="41">
        <f t="shared" si="370"/>
        <v>4642.8374999999996</v>
      </c>
      <c r="BK51" s="41">
        <f t="shared" si="370"/>
        <v>4642.8374999999996</v>
      </c>
      <c r="BL51" s="41">
        <f t="shared" si="370"/>
        <v>4642.8374999999996</v>
      </c>
      <c r="BM51" s="41">
        <f t="shared" si="370"/>
        <v>4642.8374999999996</v>
      </c>
      <c r="BN51" s="41">
        <f t="shared" si="370"/>
        <v>4642.8374999999996</v>
      </c>
      <c r="BO51" s="41">
        <f t="shared" si="370"/>
        <v>4642.8374999999996</v>
      </c>
      <c r="BP51" s="41">
        <f t="shared" si="370"/>
        <v>4642.8374999999996</v>
      </c>
      <c r="BQ51" s="41">
        <f t="shared" si="370"/>
        <v>4642.8374999999996</v>
      </c>
      <c r="BR51" s="41">
        <f t="shared" si="370"/>
        <v>4642.8374999999996</v>
      </c>
      <c r="BS51" s="41">
        <f t="shared" si="370"/>
        <v>4642.8374999999996</v>
      </c>
      <c r="BT51" s="19" t="s">
        <v>206</v>
      </c>
      <c r="BU51" s="41">
        <f>'Cálcul. trabalhado'!I18</f>
        <v>5416.6437499999993</v>
      </c>
      <c r="BV51" s="41">
        <f t="shared" ref="BV51:CF51" si="371">BU51</f>
        <v>5416.6437499999993</v>
      </c>
      <c r="BW51" s="41">
        <f t="shared" si="371"/>
        <v>5416.6437499999993</v>
      </c>
      <c r="BX51" s="41">
        <f t="shared" si="371"/>
        <v>5416.6437499999993</v>
      </c>
      <c r="BY51" s="41">
        <f t="shared" si="371"/>
        <v>5416.6437499999993</v>
      </c>
      <c r="BZ51" s="41">
        <f t="shared" si="371"/>
        <v>5416.6437499999993</v>
      </c>
      <c r="CA51" s="41">
        <f t="shared" si="371"/>
        <v>5416.6437499999993</v>
      </c>
      <c r="CB51" s="41">
        <f t="shared" si="371"/>
        <v>5416.6437499999993</v>
      </c>
      <c r="CC51" s="41">
        <f t="shared" si="371"/>
        <v>5416.6437499999993</v>
      </c>
      <c r="CD51" s="41">
        <f t="shared" si="371"/>
        <v>5416.6437499999993</v>
      </c>
      <c r="CE51" s="41">
        <f t="shared" si="371"/>
        <v>5416.6437499999993</v>
      </c>
      <c r="CF51" s="41">
        <f t="shared" si="371"/>
        <v>5416.6437499999993</v>
      </c>
      <c r="CG51" s="311" t="s">
        <v>206</v>
      </c>
      <c r="CH51" s="302">
        <f>'Cálcul. trabalhado'!I18</f>
        <v>5416.6437499999993</v>
      </c>
      <c r="CI51" s="302">
        <f t="shared" ref="CI51:CS51" si="372">CH51</f>
        <v>5416.6437499999993</v>
      </c>
      <c r="CJ51" s="302">
        <f t="shared" si="372"/>
        <v>5416.6437499999993</v>
      </c>
      <c r="CK51" s="302">
        <f t="shared" si="372"/>
        <v>5416.6437499999993</v>
      </c>
      <c r="CL51" s="302">
        <f t="shared" si="372"/>
        <v>5416.6437499999993</v>
      </c>
      <c r="CM51" s="302">
        <f t="shared" si="372"/>
        <v>5416.6437499999993</v>
      </c>
      <c r="CN51" s="302">
        <f t="shared" si="372"/>
        <v>5416.6437499999993</v>
      </c>
      <c r="CO51" s="302">
        <f t="shared" si="372"/>
        <v>5416.6437499999993</v>
      </c>
      <c r="CP51" s="302">
        <f t="shared" si="372"/>
        <v>5416.6437499999993</v>
      </c>
      <c r="CQ51" s="302">
        <f t="shared" si="372"/>
        <v>5416.6437499999993</v>
      </c>
      <c r="CR51" s="302">
        <f t="shared" si="372"/>
        <v>5416.6437499999993</v>
      </c>
      <c r="CS51" s="302">
        <f t="shared" si="372"/>
        <v>5416.6437499999993</v>
      </c>
      <c r="CT51" s="311" t="s">
        <v>206</v>
      </c>
      <c r="CU51" s="302">
        <f>'Cálcul. trabalhado'!I19</f>
        <v>5803.5468749999991</v>
      </c>
      <c r="CV51" s="302">
        <f t="shared" ref="CV51:DF51" si="373">CU51</f>
        <v>5803.5468749999991</v>
      </c>
      <c r="CW51" s="302">
        <f t="shared" si="373"/>
        <v>5803.5468749999991</v>
      </c>
      <c r="CX51" s="302">
        <f t="shared" si="373"/>
        <v>5803.5468749999991</v>
      </c>
      <c r="CY51" s="302">
        <f t="shared" si="373"/>
        <v>5803.5468749999991</v>
      </c>
      <c r="CZ51" s="302">
        <f t="shared" si="373"/>
        <v>5803.5468749999991</v>
      </c>
      <c r="DA51" s="302">
        <f t="shared" si="373"/>
        <v>5803.5468749999991</v>
      </c>
      <c r="DB51" s="302">
        <f t="shared" si="373"/>
        <v>5803.5468749999991</v>
      </c>
      <c r="DC51" s="302">
        <f t="shared" si="373"/>
        <v>5803.5468749999991</v>
      </c>
      <c r="DD51" s="302">
        <f t="shared" si="373"/>
        <v>5803.5468749999991</v>
      </c>
      <c r="DE51" s="302">
        <f t="shared" si="373"/>
        <v>5803.5468749999991</v>
      </c>
      <c r="DF51" s="302">
        <f t="shared" si="373"/>
        <v>5803.5468749999991</v>
      </c>
    </row>
    <row r="52" spans="1:110" ht="15" thickBot="1">
      <c r="A52" s="19" t="s">
        <v>72</v>
      </c>
      <c r="B52" s="5" t="s">
        <v>600</v>
      </c>
      <c r="D52" s="26">
        <v>0</v>
      </c>
      <c r="E52" s="26">
        <v>0</v>
      </c>
      <c r="F52" s="26">
        <v>1893</v>
      </c>
      <c r="G52" s="26">
        <v>1893</v>
      </c>
      <c r="H52" s="26">
        <v>1893</v>
      </c>
      <c r="I52" s="26">
        <v>1893</v>
      </c>
      <c r="J52" s="26">
        <v>1893</v>
      </c>
      <c r="K52" s="26">
        <v>1893</v>
      </c>
      <c r="L52" s="26">
        <v>1893</v>
      </c>
      <c r="M52" s="26">
        <v>1893</v>
      </c>
      <c r="N52" s="26">
        <v>1893</v>
      </c>
      <c r="O52" s="26">
        <v>1893</v>
      </c>
      <c r="P52" s="26">
        <v>1893</v>
      </c>
      <c r="Q52" s="26">
        <v>1893</v>
      </c>
      <c r="R52" s="26">
        <v>1893</v>
      </c>
      <c r="S52" s="26">
        <v>1893</v>
      </c>
      <c r="T52" s="19">
        <v>1.1000000000000001</v>
      </c>
      <c r="U52" s="26">
        <f t="shared" ref="U52" si="374">S52*T52</f>
        <v>2082.3000000000002</v>
      </c>
      <c r="V52" s="26">
        <f t="shared" ref="V52:AF52" si="375">U52</f>
        <v>2082.3000000000002</v>
      </c>
      <c r="W52" s="26">
        <f t="shared" si="375"/>
        <v>2082.3000000000002</v>
      </c>
      <c r="X52" s="26">
        <f t="shared" si="375"/>
        <v>2082.3000000000002</v>
      </c>
      <c r="Y52" s="26">
        <f t="shared" si="375"/>
        <v>2082.3000000000002</v>
      </c>
      <c r="Z52" s="26">
        <f t="shared" si="375"/>
        <v>2082.3000000000002</v>
      </c>
      <c r="AA52" s="26">
        <f t="shared" si="375"/>
        <v>2082.3000000000002</v>
      </c>
      <c r="AB52" s="26">
        <f t="shared" si="375"/>
        <v>2082.3000000000002</v>
      </c>
      <c r="AC52" s="26">
        <f t="shared" si="375"/>
        <v>2082.3000000000002</v>
      </c>
      <c r="AD52" s="26">
        <f t="shared" si="375"/>
        <v>2082.3000000000002</v>
      </c>
      <c r="AE52" s="26">
        <f t="shared" si="375"/>
        <v>2082.3000000000002</v>
      </c>
      <c r="AF52" s="26">
        <f t="shared" si="375"/>
        <v>2082.3000000000002</v>
      </c>
      <c r="AG52" s="19">
        <v>1.1000000000000001</v>
      </c>
      <c r="AH52" s="26">
        <f t="shared" ref="AH52" si="376">AF52*AG52</f>
        <v>2290.5300000000002</v>
      </c>
      <c r="AI52" s="26">
        <f t="shared" ref="AI52:AS52" si="377">AH52</f>
        <v>2290.5300000000002</v>
      </c>
      <c r="AJ52" s="26">
        <f t="shared" si="377"/>
        <v>2290.5300000000002</v>
      </c>
      <c r="AK52" s="26">
        <f t="shared" si="377"/>
        <v>2290.5300000000002</v>
      </c>
      <c r="AL52" s="26">
        <f t="shared" si="377"/>
        <v>2290.5300000000002</v>
      </c>
      <c r="AM52" s="26">
        <f t="shared" si="377"/>
        <v>2290.5300000000002</v>
      </c>
      <c r="AN52" s="26">
        <f t="shared" si="377"/>
        <v>2290.5300000000002</v>
      </c>
      <c r="AO52" s="26">
        <f t="shared" si="377"/>
        <v>2290.5300000000002</v>
      </c>
      <c r="AP52" s="26">
        <f t="shared" si="377"/>
        <v>2290.5300000000002</v>
      </c>
      <c r="AQ52" s="26">
        <f t="shared" si="377"/>
        <v>2290.5300000000002</v>
      </c>
      <c r="AR52" s="26">
        <f t="shared" si="377"/>
        <v>2290.5300000000002</v>
      </c>
      <c r="AS52" s="26">
        <f t="shared" si="377"/>
        <v>2290.5300000000002</v>
      </c>
      <c r="AT52" s="19">
        <v>1.1000000000000001</v>
      </c>
      <c r="AU52" s="26">
        <f t="shared" ref="AU52" si="378">AS52*AT52</f>
        <v>2519.5830000000005</v>
      </c>
      <c r="AV52" s="26">
        <f t="shared" ref="AV52:BF52" si="379">AU52</f>
        <v>2519.5830000000005</v>
      </c>
      <c r="AW52" s="26">
        <f t="shared" si="379"/>
        <v>2519.5830000000005</v>
      </c>
      <c r="AX52" s="26">
        <f t="shared" si="379"/>
        <v>2519.5830000000005</v>
      </c>
      <c r="AY52" s="26">
        <f t="shared" si="379"/>
        <v>2519.5830000000005</v>
      </c>
      <c r="AZ52" s="26">
        <f t="shared" si="379"/>
        <v>2519.5830000000005</v>
      </c>
      <c r="BA52" s="26">
        <f t="shared" si="379"/>
        <v>2519.5830000000005</v>
      </c>
      <c r="BB52" s="26">
        <f t="shared" si="379"/>
        <v>2519.5830000000005</v>
      </c>
      <c r="BC52" s="26">
        <f t="shared" si="379"/>
        <v>2519.5830000000005</v>
      </c>
      <c r="BD52" s="26">
        <f t="shared" si="379"/>
        <v>2519.5830000000005</v>
      </c>
      <c r="BE52" s="26">
        <f t="shared" si="379"/>
        <v>2519.5830000000005</v>
      </c>
      <c r="BF52" s="26">
        <f t="shared" si="379"/>
        <v>2519.5830000000005</v>
      </c>
      <c r="BG52" s="19">
        <v>1.1000000000000001</v>
      </c>
      <c r="BH52" s="26">
        <f t="shared" ref="BH52" si="380">BF52*BG52</f>
        <v>2771.5413000000008</v>
      </c>
      <c r="BI52" s="26">
        <f t="shared" ref="BI52:BS52" si="381">BH52</f>
        <v>2771.5413000000008</v>
      </c>
      <c r="BJ52" s="26">
        <f t="shared" si="381"/>
        <v>2771.5413000000008</v>
      </c>
      <c r="BK52" s="26">
        <f t="shared" si="381"/>
        <v>2771.5413000000008</v>
      </c>
      <c r="BL52" s="26">
        <f t="shared" si="381"/>
        <v>2771.5413000000008</v>
      </c>
      <c r="BM52" s="26">
        <f t="shared" si="381"/>
        <v>2771.5413000000008</v>
      </c>
      <c r="BN52" s="26">
        <f t="shared" si="381"/>
        <v>2771.5413000000008</v>
      </c>
      <c r="BO52" s="26">
        <f t="shared" si="381"/>
        <v>2771.5413000000008</v>
      </c>
      <c r="BP52" s="26">
        <f t="shared" si="381"/>
        <v>2771.5413000000008</v>
      </c>
      <c r="BQ52" s="26">
        <f t="shared" si="381"/>
        <v>2771.5413000000008</v>
      </c>
      <c r="BR52" s="26">
        <f t="shared" si="381"/>
        <v>2771.5413000000008</v>
      </c>
      <c r="BS52" s="26">
        <f t="shared" si="381"/>
        <v>2771.5413000000008</v>
      </c>
      <c r="BT52" s="19">
        <v>1.1000000000000001</v>
      </c>
      <c r="BU52" s="26">
        <f>BS52*BT52</f>
        <v>3048.6954300000011</v>
      </c>
      <c r="BV52" s="26">
        <f t="shared" ref="BV52:CF52" si="382">BU52</f>
        <v>3048.6954300000011</v>
      </c>
      <c r="BW52" s="26">
        <f t="shared" si="382"/>
        <v>3048.6954300000011</v>
      </c>
      <c r="BX52" s="26">
        <f t="shared" si="382"/>
        <v>3048.6954300000011</v>
      </c>
      <c r="BY52" s="26">
        <f t="shared" si="382"/>
        <v>3048.6954300000011</v>
      </c>
      <c r="BZ52" s="26">
        <f t="shared" si="382"/>
        <v>3048.6954300000011</v>
      </c>
      <c r="CA52" s="26">
        <f t="shared" si="382"/>
        <v>3048.6954300000011</v>
      </c>
      <c r="CB52" s="26">
        <f t="shared" si="382"/>
        <v>3048.6954300000011</v>
      </c>
      <c r="CC52" s="26">
        <f t="shared" si="382"/>
        <v>3048.6954300000011</v>
      </c>
      <c r="CD52" s="26">
        <f t="shared" si="382"/>
        <v>3048.6954300000011</v>
      </c>
      <c r="CE52" s="26">
        <f t="shared" si="382"/>
        <v>3048.6954300000011</v>
      </c>
      <c r="CF52" s="26">
        <f t="shared" si="382"/>
        <v>3048.6954300000011</v>
      </c>
      <c r="CG52" s="311">
        <v>1.1000000000000001</v>
      </c>
      <c r="CH52" s="302">
        <f>CF52*CG52</f>
        <v>3353.5649730000014</v>
      </c>
      <c r="CI52" s="302">
        <f t="shared" ref="CI52:CS52" si="383">CH52</f>
        <v>3353.5649730000014</v>
      </c>
      <c r="CJ52" s="302">
        <f t="shared" si="383"/>
        <v>3353.5649730000014</v>
      </c>
      <c r="CK52" s="302">
        <f t="shared" si="383"/>
        <v>3353.5649730000014</v>
      </c>
      <c r="CL52" s="302">
        <f t="shared" si="383"/>
        <v>3353.5649730000014</v>
      </c>
      <c r="CM52" s="302">
        <f t="shared" si="383"/>
        <v>3353.5649730000014</v>
      </c>
      <c r="CN52" s="302">
        <f t="shared" si="383"/>
        <v>3353.5649730000014</v>
      </c>
      <c r="CO52" s="302">
        <f t="shared" si="383"/>
        <v>3353.5649730000014</v>
      </c>
      <c r="CP52" s="302">
        <f t="shared" si="383"/>
        <v>3353.5649730000014</v>
      </c>
      <c r="CQ52" s="302">
        <f t="shared" si="383"/>
        <v>3353.5649730000014</v>
      </c>
      <c r="CR52" s="302">
        <f t="shared" si="383"/>
        <v>3353.5649730000014</v>
      </c>
      <c r="CS52" s="302">
        <f t="shared" si="383"/>
        <v>3353.5649730000014</v>
      </c>
      <c r="CT52" s="310">
        <v>1.1000000000000001</v>
      </c>
      <c r="CU52" s="302">
        <f>CS52*CT52</f>
        <v>3688.9214703000016</v>
      </c>
      <c r="CV52" s="302">
        <f t="shared" ref="CV52:DF52" si="384">CU52</f>
        <v>3688.9214703000016</v>
      </c>
      <c r="CW52" s="302">
        <f t="shared" si="384"/>
        <v>3688.9214703000016</v>
      </c>
      <c r="CX52" s="302">
        <f t="shared" si="384"/>
        <v>3688.9214703000016</v>
      </c>
      <c r="CY52" s="302">
        <f t="shared" si="384"/>
        <v>3688.9214703000016</v>
      </c>
      <c r="CZ52" s="302">
        <f t="shared" si="384"/>
        <v>3688.9214703000016</v>
      </c>
      <c r="DA52" s="302">
        <f t="shared" si="384"/>
        <v>3688.9214703000016</v>
      </c>
      <c r="DB52" s="302">
        <f t="shared" si="384"/>
        <v>3688.9214703000016</v>
      </c>
      <c r="DC52" s="302">
        <f t="shared" si="384"/>
        <v>3688.9214703000016</v>
      </c>
      <c r="DD52" s="302">
        <f t="shared" si="384"/>
        <v>3688.9214703000016</v>
      </c>
      <c r="DE52" s="302">
        <f t="shared" si="384"/>
        <v>3688.9214703000016</v>
      </c>
      <c r="DF52" s="302">
        <f t="shared" si="384"/>
        <v>3688.9214703000016</v>
      </c>
    </row>
    <row r="53" spans="1:110" ht="16.5" thickBot="1">
      <c r="A53" s="22">
        <v>2</v>
      </c>
      <c r="B53" s="23" t="s">
        <v>73</v>
      </c>
      <c r="C53" s="257">
        <f>C54+C56+C59+C61+C64+C67+C70+C77+C80+C82</f>
        <v>0</v>
      </c>
      <c r="D53" s="24">
        <f>D54+D56+D59+D61+D64+D67+D70+D77+D80+D82</f>
        <v>0</v>
      </c>
      <c r="E53" s="24">
        <f t="shared" ref="E53:S53" si="385">E54+E56+E59+E61+E64+E67+E70+E77+E80+E82</f>
        <v>0</v>
      </c>
      <c r="F53" s="24">
        <f t="shared" si="385"/>
        <v>190.02875</v>
      </c>
      <c r="G53" s="24">
        <f t="shared" si="385"/>
        <v>337.25749999999999</v>
      </c>
      <c r="H53" s="24">
        <f t="shared" si="385"/>
        <v>1717.1649999999997</v>
      </c>
      <c r="I53" s="24">
        <f t="shared" si="385"/>
        <v>1717.1649999999997</v>
      </c>
      <c r="J53" s="24">
        <f t="shared" si="385"/>
        <v>1717.1649999999997</v>
      </c>
      <c r="K53" s="24">
        <f t="shared" si="385"/>
        <v>1717.1649999999997</v>
      </c>
      <c r="L53" s="24">
        <f t="shared" si="385"/>
        <v>1717.1649999999997</v>
      </c>
      <c r="M53" s="24">
        <f t="shared" si="385"/>
        <v>1717.1649999999997</v>
      </c>
      <c r="N53" s="24">
        <f t="shared" si="385"/>
        <v>1717.1649999999997</v>
      </c>
      <c r="O53" s="24">
        <f t="shared" si="385"/>
        <v>1717.1649999999997</v>
      </c>
      <c r="P53" s="24">
        <f t="shared" si="385"/>
        <v>1717.1649999999997</v>
      </c>
      <c r="Q53" s="24">
        <f t="shared" si="385"/>
        <v>1717.1649999999997</v>
      </c>
      <c r="R53" s="24">
        <f t="shared" si="385"/>
        <v>1717.1649999999997</v>
      </c>
      <c r="S53" s="24">
        <f t="shared" si="385"/>
        <v>1717.1649999999997</v>
      </c>
      <c r="T53" s="5"/>
      <c r="U53" s="24">
        <f t="shared" ref="U53:AF53" si="386">U54+U56+U59+U61+U64+U67+U70+U77+U80+U82</f>
        <v>3558.7124999999996</v>
      </c>
      <c r="V53" s="24">
        <f>V54+V56+V59+V61+V64+V67+V70+V77+V80+V82</f>
        <v>3558.7124999999996</v>
      </c>
      <c r="W53" s="24">
        <f t="shared" si="386"/>
        <v>9268.2971874999985</v>
      </c>
      <c r="X53" s="24">
        <f t="shared" si="386"/>
        <v>9268.2971874999985</v>
      </c>
      <c r="Y53" s="24">
        <f t="shared" si="386"/>
        <v>9268.2971874999985</v>
      </c>
      <c r="Z53" s="24">
        <f t="shared" si="386"/>
        <v>9268.2971874999985</v>
      </c>
      <c r="AA53" s="24">
        <f t="shared" si="386"/>
        <v>9268.2971874999985</v>
      </c>
      <c r="AB53" s="24">
        <f t="shared" si="386"/>
        <v>9268.2971874999985</v>
      </c>
      <c r="AC53" s="24">
        <f t="shared" si="386"/>
        <v>9268.2971874999985</v>
      </c>
      <c r="AD53" s="24">
        <f t="shared" si="386"/>
        <v>9268.2971874999985</v>
      </c>
      <c r="AE53" s="24">
        <f t="shared" si="386"/>
        <v>9268.2971874999985</v>
      </c>
      <c r="AF53" s="24">
        <f t="shared" si="386"/>
        <v>9268.2971874999985</v>
      </c>
      <c r="AG53" s="5"/>
      <c r="AH53" s="24">
        <f t="shared" ref="AH53:AS53" si="387">AH54+AH56+AH59+AH61+AH64+AH67+AH70+AH77+AH80+AH82</f>
        <v>14814.0355</v>
      </c>
      <c r="AI53" s="24">
        <f t="shared" si="387"/>
        <v>14814.0355</v>
      </c>
      <c r="AJ53" s="24">
        <f t="shared" si="387"/>
        <v>14814.0355</v>
      </c>
      <c r="AK53" s="24">
        <f t="shared" si="387"/>
        <v>14814.0355</v>
      </c>
      <c r="AL53" s="24">
        <f t="shared" si="387"/>
        <v>14814.0355</v>
      </c>
      <c r="AM53" s="24">
        <f t="shared" si="387"/>
        <v>14814.0355</v>
      </c>
      <c r="AN53" s="24">
        <f t="shared" si="387"/>
        <v>14814.0355</v>
      </c>
      <c r="AO53" s="24">
        <f t="shared" si="387"/>
        <v>14814.0355</v>
      </c>
      <c r="AP53" s="24">
        <f t="shared" si="387"/>
        <v>14814.0355</v>
      </c>
      <c r="AQ53" s="24">
        <f t="shared" si="387"/>
        <v>14814.0355</v>
      </c>
      <c r="AR53" s="24">
        <f t="shared" si="387"/>
        <v>14814.0355</v>
      </c>
      <c r="AS53" s="24">
        <f t="shared" si="387"/>
        <v>14814.0355</v>
      </c>
      <c r="AU53" s="24">
        <f t="shared" ref="AU53:BF53" si="388">AU54+AU56+AU59+AU61+AU64+AU67+AU70+AU77+AU80+AU82</f>
        <v>18516.594374999997</v>
      </c>
      <c r="AV53" s="24">
        <f t="shared" si="388"/>
        <v>18516.594374999997</v>
      </c>
      <c r="AW53" s="24">
        <f t="shared" si="388"/>
        <v>18516.594374999997</v>
      </c>
      <c r="AX53" s="24">
        <f t="shared" si="388"/>
        <v>18516.594374999997</v>
      </c>
      <c r="AY53" s="24">
        <f t="shared" si="388"/>
        <v>18516.594374999997</v>
      </c>
      <c r="AZ53" s="24">
        <f t="shared" si="388"/>
        <v>18516.594374999997</v>
      </c>
      <c r="BA53" s="24">
        <f t="shared" si="388"/>
        <v>18516.594374999997</v>
      </c>
      <c r="BB53" s="24">
        <f t="shared" si="388"/>
        <v>18516.594374999997</v>
      </c>
      <c r="BC53" s="24">
        <f t="shared" si="388"/>
        <v>18516.594374999997</v>
      </c>
      <c r="BD53" s="24">
        <f t="shared" si="388"/>
        <v>18516.594374999997</v>
      </c>
      <c r="BE53" s="24">
        <f t="shared" si="388"/>
        <v>18516.594374999997</v>
      </c>
      <c r="BF53" s="24">
        <f t="shared" si="388"/>
        <v>18516.594374999997</v>
      </c>
      <c r="BH53" s="24">
        <f t="shared" ref="BH53:BS53" si="389">BH54+BH56+BH59+BH61+BH64+BH67+BH70+BH77+BH80+BH82</f>
        <v>22222.953249999995</v>
      </c>
      <c r="BI53" s="24">
        <f t="shared" si="389"/>
        <v>22222.953249999995</v>
      </c>
      <c r="BJ53" s="24">
        <f t="shared" si="389"/>
        <v>22222.953249999995</v>
      </c>
      <c r="BK53" s="24">
        <f t="shared" si="389"/>
        <v>22222.953249999995</v>
      </c>
      <c r="BL53" s="24">
        <f t="shared" si="389"/>
        <v>22222.953249999995</v>
      </c>
      <c r="BM53" s="24">
        <f t="shared" si="389"/>
        <v>22222.953249999995</v>
      </c>
      <c r="BN53" s="24">
        <f t="shared" si="389"/>
        <v>22222.953249999995</v>
      </c>
      <c r="BO53" s="24">
        <f t="shared" si="389"/>
        <v>22222.953249999995</v>
      </c>
      <c r="BP53" s="24">
        <f t="shared" si="389"/>
        <v>22222.953249999995</v>
      </c>
      <c r="BQ53" s="24">
        <f t="shared" si="389"/>
        <v>22222.953249999995</v>
      </c>
      <c r="BR53" s="24">
        <f t="shared" si="389"/>
        <v>22222.953249999995</v>
      </c>
      <c r="BS53" s="24">
        <f t="shared" si="389"/>
        <v>22222.953249999995</v>
      </c>
      <c r="BU53" s="24">
        <f t="shared" ref="BU53:CE53" si="390">BU54+BU56+BU59+BU61+BU64+BU67+BU70+BU77+BU80+BU82</f>
        <v>25925.512124999994</v>
      </c>
      <c r="BV53" s="24">
        <f t="shared" si="390"/>
        <v>25925.512124999994</v>
      </c>
      <c r="BW53" s="24">
        <f t="shared" si="390"/>
        <v>25925.512124999994</v>
      </c>
      <c r="BX53" s="24">
        <f t="shared" si="390"/>
        <v>25925.512124999994</v>
      </c>
      <c r="BY53" s="24">
        <f t="shared" si="390"/>
        <v>25925.512124999994</v>
      </c>
      <c r="BZ53" s="24">
        <f t="shared" si="390"/>
        <v>25925.512124999994</v>
      </c>
      <c r="CA53" s="24">
        <f t="shared" si="390"/>
        <v>25925.512124999994</v>
      </c>
      <c r="CB53" s="24">
        <f t="shared" si="390"/>
        <v>25925.512124999994</v>
      </c>
      <c r="CC53" s="24">
        <f t="shared" si="390"/>
        <v>25925.512124999994</v>
      </c>
      <c r="CD53" s="24">
        <f t="shared" si="390"/>
        <v>25925.512124999994</v>
      </c>
      <c r="CE53" s="24">
        <f t="shared" si="390"/>
        <v>25925.512124999994</v>
      </c>
      <c r="CF53" s="24">
        <f>CF54+CF56+CF59+CF61+CF64+CF67+CF70+CF77+CF80+CF82</f>
        <v>25925.512124999994</v>
      </c>
      <c r="CH53" s="336">
        <f>CH54+CH56+CH59+CH61+CH64+CH67+CH70+CH77+CH80+CH82</f>
        <v>25925.512124999994</v>
      </c>
      <c r="CI53" s="336">
        <f t="shared" ref="CI53:CR53" si="391">CI54+CI56+CI59+CI61+CI64+CI67+CI70+CI77+CI80+CI82</f>
        <v>25925.512124999994</v>
      </c>
      <c r="CJ53" s="336">
        <f t="shared" si="391"/>
        <v>25925.512124999994</v>
      </c>
      <c r="CK53" s="336">
        <f t="shared" si="391"/>
        <v>25925.512124999994</v>
      </c>
      <c r="CL53" s="336">
        <f t="shared" si="391"/>
        <v>25925.512124999994</v>
      </c>
      <c r="CM53" s="336">
        <f t="shared" si="391"/>
        <v>25925.512124999994</v>
      </c>
      <c r="CN53" s="336">
        <f t="shared" si="391"/>
        <v>25925.512124999994</v>
      </c>
      <c r="CO53" s="336">
        <f t="shared" si="391"/>
        <v>25925.512124999994</v>
      </c>
      <c r="CP53" s="336">
        <f t="shared" si="391"/>
        <v>25925.512124999994</v>
      </c>
      <c r="CQ53" s="336">
        <f t="shared" si="391"/>
        <v>25925.512124999994</v>
      </c>
      <c r="CR53" s="336">
        <f t="shared" si="391"/>
        <v>25925.512124999994</v>
      </c>
      <c r="CS53" s="336">
        <f>CS54+CS56+CS59+CS61+CS64+CS67+CS70+CS77+CS80+CS82</f>
        <v>25925.512124999994</v>
      </c>
      <c r="CU53" s="336">
        <f>CU54+CU56+CU59+CU61+CU64+CU67+CU70+CU77+CU80+CU82</f>
        <v>27784.891562499997</v>
      </c>
      <c r="CV53" s="336">
        <f t="shared" ref="CV53:DF53" si="392">CV54+CV56+CV59+CV61+CV64+CV67+CV70+CV77+CV80+CV82</f>
        <v>27784.891562499997</v>
      </c>
      <c r="CW53" s="336">
        <f t="shared" si="392"/>
        <v>27784.891562499997</v>
      </c>
      <c r="CX53" s="336">
        <f t="shared" si="392"/>
        <v>27784.891562499997</v>
      </c>
      <c r="CY53" s="336">
        <f t="shared" si="392"/>
        <v>27784.891562499997</v>
      </c>
      <c r="CZ53" s="336">
        <f t="shared" si="392"/>
        <v>27784.891562499997</v>
      </c>
      <c r="DA53" s="336">
        <f t="shared" si="392"/>
        <v>27784.891562499997</v>
      </c>
      <c r="DB53" s="336">
        <f t="shared" si="392"/>
        <v>27784.891562499997</v>
      </c>
      <c r="DC53" s="336">
        <f t="shared" si="392"/>
        <v>27784.891562499997</v>
      </c>
      <c r="DD53" s="336">
        <f t="shared" si="392"/>
        <v>27784.891562499997</v>
      </c>
      <c r="DE53" s="336">
        <f t="shared" si="392"/>
        <v>27784.891562499997</v>
      </c>
      <c r="DF53" s="336">
        <f t="shared" si="392"/>
        <v>27784.891562499997</v>
      </c>
    </row>
    <row r="54" spans="1:110" ht="15.75" thickBot="1">
      <c r="A54" s="16" t="s">
        <v>74</v>
      </c>
      <c r="B54" s="10" t="s">
        <v>75</v>
      </c>
      <c r="D54" s="10"/>
      <c r="E54" s="10"/>
      <c r="F54" s="10"/>
      <c r="G54" s="10"/>
      <c r="H54" s="39">
        <f>SUM(H55)</f>
        <v>0</v>
      </c>
      <c r="I54" s="39">
        <f t="shared" ref="I54:S54" si="393">SUM(I55)</f>
        <v>0</v>
      </c>
      <c r="J54" s="39">
        <f t="shared" si="393"/>
        <v>0</v>
      </c>
      <c r="K54" s="39">
        <f t="shared" si="393"/>
        <v>0</v>
      </c>
      <c r="L54" s="39">
        <f t="shared" si="393"/>
        <v>0</v>
      </c>
      <c r="M54" s="39">
        <f t="shared" si="393"/>
        <v>0</v>
      </c>
      <c r="N54" s="39">
        <f t="shared" si="393"/>
        <v>0</v>
      </c>
      <c r="O54" s="39">
        <f t="shared" si="393"/>
        <v>0</v>
      </c>
      <c r="P54" s="39">
        <f t="shared" si="393"/>
        <v>0</v>
      </c>
      <c r="Q54" s="39">
        <f t="shared" si="393"/>
        <v>0</v>
      </c>
      <c r="R54" s="39">
        <f t="shared" si="393"/>
        <v>0</v>
      </c>
      <c r="S54" s="39">
        <f t="shared" si="393"/>
        <v>0</v>
      </c>
      <c r="T54" s="5"/>
      <c r="U54" s="39">
        <f>SUM(U55)</f>
        <v>0</v>
      </c>
      <c r="V54" s="39">
        <f t="shared" ref="V54:AF54" si="394">SUM(V55)</f>
        <v>0</v>
      </c>
      <c r="W54" s="39">
        <f t="shared" si="394"/>
        <v>0</v>
      </c>
      <c r="X54" s="39">
        <f t="shared" si="394"/>
        <v>0</v>
      </c>
      <c r="Y54" s="39">
        <f t="shared" si="394"/>
        <v>0</v>
      </c>
      <c r="Z54" s="39">
        <f t="shared" si="394"/>
        <v>0</v>
      </c>
      <c r="AA54" s="39">
        <f t="shared" si="394"/>
        <v>0</v>
      </c>
      <c r="AB54" s="39">
        <f t="shared" si="394"/>
        <v>0</v>
      </c>
      <c r="AC54" s="39">
        <f t="shared" si="394"/>
        <v>0</v>
      </c>
      <c r="AD54" s="39">
        <f t="shared" si="394"/>
        <v>0</v>
      </c>
      <c r="AE54" s="39">
        <f t="shared" si="394"/>
        <v>0</v>
      </c>
      <c r="AF54" s="39">
        <f t="shared" si="394"/>
        <v>0</v>
      </c>
      <c r="AG54" s="5"/>
      <c r="AH54" s="39">
        <f>SUM(AH55)</f>
        <v>0</v>
      </c>
      <c r="AI54" s="39">
        <f t="shared" ref="AI54:AS54" si="395">SUM(AI55)</f>
        <v>0</v>
      </c>
      <c r="AJ54" s="39">
        <f t="shared" si="395"/>
        <v>0</v>
      </c>
      <c r="AK54" s="39">
        <f t="shared" si="395"/>
        <v>0</v>
      </c>
      <c r="AL54" s="39">
        <f t="shared" si="395"/>
        <v>0</v>
      </c>
      <c r="AM54" s="39">
        <f t="shared" si="395"/>
        <v>0</v>
      </c>
      <c r="AN54" s="39">
        <f t="shared" si="395"/>
        <v>0</v>
      </c>
      <c r="AO54" s="39">
        <f t="shared" si="395"/>
        <v>0</v>
      </c>
      <c r="AP54" s="39">
        <f t="shared" si="395"/>
        <v>0</v>
      </c>
      <c r="AQ54" s="39">
        <f t="shared" si="395"/>
        <v>0</v>
      </c>
      <c r="AR54" s="39">
        <f t="shared" si="395"/>
        <v>0</v>
      </c>
      <c r="AS54" s="39">
        <f t="shared" si="395"/>
        <v>0</v>
      </c>
      <c r="AU54" s="39">
        <f>SUM(AU55)</f>
        <v>0</v>
      </c>
      <c r="AV54" s="39">
        <f t="shared" ref="AV54:BF54" si="396">SUM(AV55)</f>
        <v>0</v>
      </c>
      <c r="AW54" s="39">
        <f t="shared" si="396"/>
        <v>0</v>
      </c>
      <c r="AX54" s="39">
        <f t="shared" si="396"/>
        <v>0</v>
      </c>
      <c r="AY54" s="39">
        <f t="shared" si="396"/>
        <v>0</v>
      </c>
      <c r="AZ54" s="39">
        <f t="shared" si="396"/>
        <v>0</v>
      </c>
      <c r="BA54" s="39">
        <f t="shared" si="396"/>
        <v>0</v>
      </c>
      <c r="BB54" s="39">
        <f t="shared" si="396"/>
        <v>0</v>
      </c>
      <c r="BC54" s="39">
        <f t="shared" si="396"/>
        <v>0</v>
      </c>
      <c r="BD54" s="39">
        <f t="shared" si="396"/>
        <v>0</v>
      </c>
      <c r="BE54" s="39">
        <f t="shared" si="396"/>
        <v>0</v>
      </c>
      <c r="BF54" s="39">
        <f t="shared" si="396"/>
        <v>0</v>
      </c>
      <c r="BH54" s="39">
        <f>SUM(BH55)</f>
        <v>0</v>
      </c>
      <c r="BI54" s="39">
        <f t="shared" ref="BI54:BS54" si="397">SUM(BI55)</f>
        <v>0</v>
      </c>
      <c r="BJ54" s="39">
        <f t="shared" si="397"/>
        <v>0</v>
      </c>
      <c r="BK54" s="39">
        <f t="shared" si="397"/>
        <v>0</v>
      </c>
      <c r="BL54" s="39">
        <f t="shared" si="397"/>
        <v>0</v>
      </c>
      <c r="BM54" s="39">
        <f t="shared" si="397"/>
        <v>0</v>
      </c>
      <c r="BN54" s="39">
        <f t="shared" si="397"/>
        <v>0</v>
      </c>
      <c r="BO54" s="39">
        <f t="shared" si="397"/>
        <v>0</v>
      </c>
      <c r="BP54" s="39">
        <f t="shared" si="397"/>
        <v>0</v>
      </c>
      <c r="BQ54" s="39">
        <f t="shared" si="397"/>
        <v>0</v>
      </c>
      <c r="BR54" s="39">
        <f t="shared" si="397"/>
        <v>0</v>
      </c>
      <c r="BS54" s="39">
        <f t="shared" si="397"/>
        <v>0</v>
      </c>
      <c r="BU54" s="39">
        <f>SUM(BU55)</f>
        <v>0</v>
      </c>
      <c r="BV54" s="39">
        <f t="shared" ref="BV54:CF54" si="398">SUM(BV55)</f>
        <v>0</v>
      </c>
      <c r="BW54" s="39">
        <f t="shared" si="398"/>
        <v>0</v>
      </c>
      <c r="BX54" s="39">
        <f t="shared" si="398"/>
        <v>0</v>
      </c>
      <c r="BY54" s="39">
        <f t="shared" si="398"/>
        <v>0</v>
      </c>
      <c r="BZ54" s="39">
        <f t="shared" si="398"/>
        <v>0</v>
      </c>
      <c r="CA54" s="39">
        <f t="shared" si="398"/>
        <v>0</v>
      </c>
      <c r="CB54" s="39">
        <f t="shared" si="398"/>
        <v>0</v>
      </c>
      <c r="CC54" s="39">
        <f t="shared" si="398"/>
        <v>0</v>
      </c>
      <c r="CD54" s="39">
        <f t="shared" si="398"/>
        <v>0</v>
      </c>
      <c r="CE54" s="39">
        <f t="shared" si="398"/>
        <v>0</v>
      </c>
      <c r="CF54" s="39">
        <f t="shared" si="398"/>
        <v>0</v>
      </c>
      <c r="CH54" s="312">
        <f>SUM(CH55)</f>
        <v>0</v>
      </c>
      <c r="CI54" s="312">
        <f t="shared" ref="CI54:CS54" si="399">SUM(CI55)</f>
        <v>0</v>
      </c>
      <c r="CJ54" s="312">
        <f t="shared" si="399"/>
        <v>0</v>
      </c>
      <c r="CK54" s="312">
        <f t="shared" si="399"/>
        <v>0</v>
      </c>
      <c r="CL54" s="312">
        <f t="shared" si="399"/>
        <v>0</v>
      </c>
      <c r="CM54" s="312">
        <f t="shared" si="399"/>
        <v>0</v>
      </c>
      <c r="CN54" s="312">
        <f t="shared" si="399"/>
        <v>0</v>
      </c>
      <c r="CO54" s="312">
        <f t="shared" si="399"/>
        <v>0</v>
      </c>
      <c r="CP54" s="312">
        <f t="shared" si="399"/>
        <v>0</v>
      </c>
      <c r="CQ54" s="312">
        <f t="shared" si="399"/>
        <v>0</v>
      </c>
      <c r="CR54" s="312">
        <f t="shared" si="399"/>
        <v>0</v>
      </c>
      <c r="CS54" s="312">
        <f t="shared" si="399"/>
        <v>0</v>
      </c>
      <c r="CT54" s="312"/>
      <c r="CU54" s="312">
        <f>SUM(CU55)</f>
        <v>0</v>
      </c>
      <c r="CV54" s="312">
        <f t="shared" ref="CV54:DF54" si="400">SUM(CV55)</f>
        <v>0</v>
      </c>
      <c r="CW54" s="312">
        <f t="shared" si="400"/>
        <v>0</v>
      </c>
      <c r="CX54" s="312">
        <f t="shared" si="400"/>
        <v>0</v>
      </c>
      <c r="CY54" s="312">
        <f t="shared" si="400"/>
        <v>0</v>
      </c>
      <c r="CZ54" s="312">
        <f t="shared" si="400"/>
        <v>0</v>
      </c>
      <c r="DA54" s="312">
        <f t="shared" si="400"/>
        <v>0</v>
      </c>
      <c r="DB54" s="312">
        <f t="shared" si="400"/>
        <v>0</v>
      </c>
      <c r="DC54" s="312">
        <f t="shared" si="400"/>
        <v>0</v>
      </c>
      <c r="DD54" s="312">
        <f t="shared" si="400"/>
        <v>0</v>
      </c>
      <c r="DE54" s="312">
        <f t="shared" si="400"/>
        <v>0</v>
      </c>
      <c r="DF54" s="312">
        <f t="shared" si="400"/>
        <v>0</v>
      </c>
    </row>
    <row r="55" spans="1:110" ht="15" thickBot="1">
      <c r="A55" s="19" t="s">
        <v>76</v>
      </c>
      <c r="B55" s="5" t="s">
        <v>77</v>
      </c>
      <c r="D55" s="5"/>
      <c r="E55" s="5"/>
      <c r="F55" s="5"/>
      <c r="G55" s="5"/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5"/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5"/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U55" s="26">
        <v>0</v>
      </c>
      <c r="BV55" s="26">
        <v>0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6">
        <v>0</v>
      </c>
      <c r="CD55" s="26">
        <v>0</v>
      </c>
      <c r="CE55" s="26">
        <v>0</v>
      </c>
      <c r="CF55" s="26">
        <v>0</v>
      </c>
      <c r="CH55" s="306">
        <v>0</v>
      </c>
      <c r="CI55" s="306">
        <v>0</v>
      </c>
      <c r="CJ55" s="306">
        <v>0</v>
      </c>
      <c r="CK55" s="306">
        <v>0</v>
      </c>
      <c r="CL55" s="306">
        <v>0</v>
      </c>
      <c r="CM55" s="306">
        <v>0</v>
      </c>
      <c r="CN55" s="306">
        <v>0</v>
      </c>
      <c r="CO55" s="306">
        <v>0</v>
      </c>
      <c r="CP55" s="306">
        <v>0</v>
      </c>
      <c r="CQ55" s="306">
        <v>0</v>
      </c>
      <c r="CR55" s="306">
        <v>0</v>
      </c>
      <c r="CS55" s="306">
        <v>0</v>
      </c>
      <c r="CT55" s="313"/>
      <c r="CU55" s="313">
        <v>0</v>
      </c>
      <c r="CV55" s="313">
        <v>0</v>
      </c>
      <c r="CW55" s="313">
        <v>0</v>
      </c>
      <c r="CX55" s="313">
        <v>0</v>
      </c>
      <c r="CY55" s="313">
        <v>0</v>
      </c>
      <c r="CZ55" s="313">
        <v>0</v>
      </c>
      <c r="DA55" s="313">
        <v>0</v>
      </c>
      <c r="DB55" s="313">
        <v>0</v>
      </c>
      <c r="DC55" s="313">
        <v>0</v>
      </c>
      <c r="DD55" s="313">
        <v>0</v>
      </c>
      <c r="DE55" s="313">
        <v>0</v>
      </c>
      <c r="DF55" s="313">
        <v>0</v>
      </c>
    </row>
    <row r="56" spans="1:110" ht="15.75" thickBot="1">
      <c r="A56" s="16" t="s">
        <v>78</v>
      </c>
      <c r="B56" s="10" t="s">
        <v>79</v>
      </c>
      <c r="D56" s="10"/>
      <c r="E56" s="10"/>
      <c r="F56" s="10">
        <f>SUM(F57:F58)</f>
        <v>42.8</v>
      </c>
      <c r="G56" s="10">
        <f>SUM(G57:G58)</f>
        <v>42.8</v>
      </c>
      <c r="H56" s="39">
        <f>SUM(H57:H58)</f>
        <v>131.19999999999999</v>
      </c>
      <c r="I56" s="39">
        <f t="shared" ref="I56:S56" si="401">SUM(I57:I58)</f>
        <v>131.19999999999999</v>
      </c>
      <c r="J56" s="39">
        <f t="shared" si="401"/>
        <v>131.19999999999999</v>
      </c>
      <c r="K56" s="39">
        <f t="shared" si="401"/>
        <v>131.19999999999999</v>
      </c>
      <c r="L56" s="39">
        <f t="shared" si="401"/>
        <v>131.19999999999999</v>
      </c>
      <c r="M56" s="39">
        <f t="shared" si="401"/>
        <v>131.19999999999999</v>
      </c>
      <c r="N56" s="39">
        <f t="shared" si="401"/>
        <v>131.19999999999999</v>
      </c>
      <c r="O56" s="39">
        <f t="shared" si="401"/>
        <v>131.19999999999999</v>
      </c>
      <c r="P56" s="39">
        <f t="shared" si="401"/>
        <v>131.19999999999999</v>
      </c>
      <c r="Q56" s="39">
        <f t="shared" si="401"/>
        <v>131.19999999999999</v>
      </c>
      <c r="R56" s="39">
        <f t="shared" si="401"/>
        <v>131.19999999999999</v>
      </c>
      <c r="S56" s="39">
        <f t="shared" si="401"/>
        <v>131.19999999999999</v>
      </c>
      <c r="T56" s="5"/>
      <c r="U56" s="39">
        <f t="shared" ref="U56:AF56" si="402">SUM(U57:U58)</f>
        <v>242.4</v>
      </c>
      <c r="V56" s="39">
        <f t="shared" si="402"/>
        <v>242.4</v>
      </c>
      <c r="W56" s="39">
        <f t="shared" si="402"/>
        <v>242.4</v>
      </c>
      <c r="X56" s="39">
        <f t="shared" si="402"/>
        <v>242.4</v>
      </c>
      <c r="Y56" s="39">
        <f t="shared" si="402"/>
        <v>242.4</v>
      </c>
      <c r="Z56" s="39">
        <f t="shared" si="402"/>
        <v>242.4</v>
      </c>
      <c r="AA56" s="39">
        <f t="shared" si="402"/>
        <v>242.4</v>
      </c>
      <c r="AB56" s="39">
        <f t="shared" si="402"/>
        <v>242.4</v>
      </c>
      <c r="AC56" s="39">
        <f t="shared" si="402"/>
        <v>242.4</v>
      </c>
      <c r="AD56" s="39">
        <f t="shared" si="402"/>
        <v>242.4</v>
      </c>
      <c r="AE56" s="39">
        <f t="shared" si="402"/>
        <v>242.4</v>
      </c>
      <c r="AF56" s="39">
        <f t="shared" si="402"/>
        <v>242.4</v>
      </c>
      <c r="AG56" s="5"/>
      <c r="AH56" s="39">
        <f t="shared" ref="AH56:AS56" si="403">SUM(AH57:AH58)</f>
        <v>372.6</v>
      </c>
      <c r="AI56" s="39">
        <f t="shared" si="403"/>
        <v>372.6</v>
      </c>
      <c r="AJ56" s="39">
        <f t="shared" si="403"/>
        <v>372.6</v>
      </c>
      <c r="AK56" s="39">
        <f t="shared" si="403"/>
        <v>372.6</v>
      </c>
      <c r="AL56" s="39">
        <f t="shared" si="403"/>
        <v>372.6</v>
      </c>
      <c r="AM56" s="39">
        <f t="shared" si="403"/>
        <v>372.6</v>
      </c>
      <c r="AN56" s="39">
        <f t="shared" si="403"/>
        <v>372.6</v>
      </c>
      <c r="AO56" s="39">
        <f t="shared" si="403"/>
        <v>372.6</v>
      </c>
      <c r="AP56" s="39">
        <f t="shared" si="403"/>
        <v>372.6</v>
      </c>
      <c r="AQ56" s="39">
        <f t="shared" si="403"/>
        <v>372.6</v>
      </c>
      <c r="AR56" s="39">
        <f t="shared" si="403"/>
        <v>372.6</v>
      </c>
      <c r="AS56" s="39">
        <f t="shared" si="403"/>
        <v>372.6</v>
      </c>
      <c r="AU56" s="39">
        <f t="shared" ref="AU56:BF56" si="404">SUM(AU57:AU58)</f>
        <v>464.8</v>
      </c>
      <c r="AV56" s="39">
        <f t="shared" si="404"/>
        <v>464.8</v>
      </c>
      <c r="AW56" s="39">
        <f t="shared" si="404"/>
        <v>464.8</v>
      </c>
      <c r="AX56" s="39">
        <f t="shared" si="404"/>
        <v>464.8</v>
      </c>
      <c r="AY56" s="39">
        <f t="shared" si="404"/>
        <v>464.8</v>
      </c>
      <c r="AZ56" s="39">
        <f t="shared" si="404"/>
        <v>464.8</v>
      </c>
      <c r="BA56" s="39">
        <f t="shared" si="404"/>
        <v>464.8</v>
      </c>
      <c r="BB56" s="39">
        <f t="shared" si="404"/>
        <v>464.8</v>
      </c>
      <c r="BC56" s="39">
        <f t="shared" si="404"/>
        <v>464.8</v>
      </c>
      <c r="BD56" s="39">
        <f t="shared" si="404"/>
        <v>464.8</v>
      </c>
      <c r="BE56" s="39">
        <f t="shared" si="404"/>
        <v>464.8</v>
      </c>
      <c r="BF56" s="39">
        <f t="shared" si="404"/>
        <v>464.8</v>
      </c>
      <c r="BH56" s="39">
        <f t="shared" ref="BH56:BS56" si="405">SUM(BH57:BH58)</f>
        <v>560.79999999999995</v>
      </c>
      <c r="BI56" s="39">
        <f t="shared" si="405"/>
        <v>560.79999999999995</v>
      </c>
      <c r="BJ56" s="39">
        <f t="shared" si="405"/>
        <v>560.79999999999995</v>
      </c>
      <c r="BK56" s="39">
        <f t="shared" si="405"/>
        <v>560.79999999999995</v>
      </c>
      <c r="BL56" s="39">
        <f t="shared" si="405"/>
        <v>560.79999999999995</v>
      </c>
      <c r="BM56" s="39">
        <f t="shared" si="405"/>
        <v>560.79999999999995</v>
      </c>
      <c r="BN56" s="39">
        <f t="shared" si="405"/>
        <v>560.79999999999995</v>
      </c>
      <c r="BO56" s="39">
        <f t="shared" si="405"/>
        <v>560.79999999999995</v>
      </c>
      <c r="BP56" s="39">
        <f t="shared" si="405"/>
        <v>560.79999999999995</v>
      </c>
      <c r="BQ56" s="39">
        <f t="shared" si="405"/>
        <v>560.79999999999995</v>
      </c>
      <c r="BR56" s="39">
        <f t="shared" si="405"/>
        <v>560.79999999999995</v>
      </c>
      <c r="BS56" s="39">
        <f t="shared" si="405"/>
        <v>560.79999999999995</v>
      </c>
      <c r="BU56" s="39">
        <f t="shared" ref="BU56:CF56" si="406">SUM(BU57:BU58)</f>
        <v>653</v>
      </c>
      <c r="BV56" s="39">
        <f t="shared" si="406"/>
        <v>653</v>
      </c>
      <c r="BW56" s="39">
        <f t="shared" si="406"/>
        <v>653</v>
      </c>
      <c r="BX56" s="39">
        <f t="shared" si="406"/>
        <v>653</v>
      </c>
      <c r="BY56" s="39">
        <f t="shared" si="406"/>
        <v>653</v>
      </c>
      <c r="BZ56" s="39">
        <f t="shared" si="406"/>
        <v>653</v>
      </c>
      <c r="CA56" s="39">
        <f t="shared" si="406"/>
        <v>653</v>
      </c>
      <c r="CB56" s="39">
        <f t="shared" si="406"/>
        <v>653</v>
      </c>
      <c r="CC56" s="39">
        <f t="shared" si="406"/>
        <v>653</v>
      </c>
      <c r="CD56" s="39">
        <f t="shared" si="406"/>
        <v>653</v>
      </c>
      <c r="CE56" s="39">
        <f t="shared" si="406"/>
        <v>653</v>
      </c>
      <c r="CF56" s="39">
        <f t="shared" si="406"/>
        <v>653</v>
      </c>
      <c r="CH56" s="312">
        <f>SUM(CH57:CH58)</f>
        <v>653</v>
      </c>
      <c r="CI56" s="312">
        <f t="shared" ref="CI56:CS56" si="407">SUM(CI57:CI58)</f>
        <v>653</v>
      </c>
      <c r="CJ56" s="312">
        <f t="shared" si="407"/>
        <v>653</v>
      </c>
      <c r="CK56" s="312">
        <f t="shared" si="407"/>
        <v>653</v>
      </c>
      <c r="CL56" s="312">
        <f t="shared" si="407"/>
        <v>653</v>
      </c>
      <c r="CM56" s="312">
        <f t="shared" si="407"/>
        <v>653</v>
      </c>
      <c r="CN56" s="312">
        <f t="shared" si="407"/>
        <v>653</v>
      </c>
      <c r="CO56" s="312">
        <f t="shared" si="407"/>
        <v>653</v>
      </c>
      <c r="CP56" s="312">
        <f t="shared" si="407"/>
        <v>653</v>
      </c>
      <c r="CQ56" s="312">
        <f t="shared" si="407"/>
        <v>653</v>
      </c>
      <c r="CR56" s="312">
        <f t="shared" si="407"/>
        <v>653</v>
      </c>
      <c r="CS56" s="312">
        <f t="shared" si="407"/>
        <v>653</v>
      </c>
      <c r="CU56" s="333">
        <f>SUM(CU57:CU58)</f>
        <v>707.2</v>
      </c>
      <c r="CV56" s="333">
        <f t="shared" ref="CV56:DF56" si="408">SUM(CV57:CV58)</f>
        <v>707.2</v>
      </c>
      <c r="CW56" s="333">
        <f t="shared" si="408"/>
        <v>707.2</v>
      </c>
      <c r="CX56" s="333">
        <f t="shared" si="408"/>
        <v>707.2</v>
      </c>
      <c r="CY56" s="333">
        <f t="shared" si="408"/>
        <v>707.2</v>
      </c>
      <c r="CZ56" s="333">
        <f t="shared" si="408"/>
        <v>707.2</v>
      </c>
      <c r="DA56" s="333">
        <f t="shared" si="408"/>
        <v>707.2</v>
      </c>
      <c r="DB56" s="333">
        <f t="shared" si="408"/>
        <v>707.2</v>
      </c>
      <c r="DC56" s="333">
        <f t="shared" si="408"/>
        <v>707.2</v>
      </c>
      <c r="DD56" s="333">
        <f t="shared" si="408"/>
        <v>707.2</v>
      </c>
      <c r="DE56" s="333">
        <f t="shared" si="408"/>
        <v>707.2</v>
      </c>
      <c r="DF56" s="333">
        <f t="shared" si="408"/>
        <v>707.2</v>
      </c>
    </row>
    <row r="57" spans="1:110" ht="15" thickBot="1">
      <c r="A57" s="19" t="s">
        <v>80</v>
      </c>
      <c r="B57" s="5" t="s">
        <v>79</v>
      </c>
      <c r="D57" s="5"/>
      <c r="E57" s="5"/>
      <c r="F57" s="5"/>
      <c r="G57" s="5"/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5"/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5"/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0</v>
      </c>
      <c r="BF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26">
        <v>0</v>
      </c>
      <c r="CE57" s="26">
        <v>0</v>
      </c>
      <c r="CF57" s="26">
        <v>0</v>
      </c>
      <c r="CH57" s="306">
        <v>0</v>
      </c>
      <c r="CI57" s="306">
        <v>0</v>
      </c>
      <c r="CJ57" s="306">
        <v>0</v>
      </c>
      <c r="CK57" s="306">
        <v>0</v>
      </c>
      <c r="CL57" s="306">
        <v>0</v>
      </c>
      <c r="CM57" s="306">
        <v>0</v>
      </c>
      <c r="CN57" s="306">
        <v>0</v>
      </c>
      <c r="CO57" s="306">
        <v>0</v>
      </c>
      <c r="CP57" s="306">
        <v>0</v>
      </c>
      <c r="CQ57" s="306">
        <v>0</v>
      </c>
      <c r="CR57" s="306">
        <v>0</v>
      </c>
      <c r="CS57" s="306">
        <v>0</v>
      </c>
      <c r="CU57" s="313">
        <v>0</v>
      </c>
      <c r="CV57" s="313">
        <v>0</v>
      </c>
      <c r="CW57" s="313">
        <v>0</v>
      </c>
      <c r="CX57" s="313">
        <v>0</v>
      </c>
      <c r="CY57" s="313">
        <v>0</v>
      </c>
      <c r="CZ57" s="313">
        <v>0</v>
      </c>
      <c r="DA57" s="313">
        <v>0</v>
      </c>
      <c r="DB57" s="313">
        <v>0</v>
      </c>
      <c r="DC57" s="313">
        <v>0</v>
      </c>
      <c r="DD57" s="313">
        <v>0</v>
      </c>
      <c r="DE57" s="313">
        <v>0</v>
      </c>
      <c r="DF57" s="313">
        <v>0</v>
      </c>
    </row>
    <row r="58" spans="1:110" ht="15" thickBot="1">
      <c r="A58" s="19" t="s">
        <v>81</v>
      </c>
      <c r="B58" s="5" t="s">
        <v>451</v>
      </c>
      <c r="D58" s="5"/>
      <c r="E58" s="5"/>
      <c r="F58" s="5">
        <f>'Cálculo kit higiene'!J28</f>
        <v>42.8</v>
      </c>
      <c r="G58" s="259">
        <f>'Cálculo kit higiene'!J28</f>
        <v>42.8</v>
      </c>
      <c r="H58" s="26">
        <f>'Cálculo kit higiene'!J29</f>
        <v>131.19999999999999</v>
      </c>
      <c r="I58" s="26">
        <f t="shared" ref="I58:S58" si="409">H58</f>
        <v>131.19999999999999</v>
      </c>
      <c r="J58" s="26">
        <f t="shared" si="409"/>
        <v>131.19999999999999</v>
      </c>
      <c r="K58" s="26">
        <f t="shared" si="409"/>
        <v>131.19999999999999</v>
      </c>
      <c r="L58" s="26">
        <f t="shared" si="409"/>
        <v>131.19999999999999</v>
      </c>
      <c r="M58" s="26">
        <f t="shared" si="409"/>
        <v>131.19999999999999</v>
      </c>
      <c r="N58" s="26">
        <f t="shared" si="409"/>
        <v>131.19999999999999</v>
      </c>
      <c r="O58" s="26">
        <f t="shared" si="409"/>
        <v>131.19999999999999</v>
      </c>
      <c r="P58" s="26">
        <f t="shared" si="409"/>
        <v>131.19999999999999</v>
      </c>
      <c r="Q58" s="26">
        <f t="shared" si="409"/>
        <v>131.19999999999999</v>
      </c>
      <c r="R58" s="26">
        <f t="shared" si="409"/>
        <v>131.19999999999999</v>
      </c>
      <c r="S58" s="26">
        <f t="shared" si="409"/>
        <v>131.19999999999999</v>
      </c>
      <c r="T58" s="5"/>
      <c r="U58" s="26">
        <f>'Cálculo kit higiene'!J30</f>
        <v>242.4</v>
      </c>
      <c r="V58" s="26">
        <f t="shared" ref="V58:AF58" si="410">U58</f>
        <v>242.4</v>
      </c>
      <c r="W58" s="26">
        <f t="shared" si="410"/>
        <v>242.4</v>
      </c>
      <c r="X58" s="26">
        <f t="shared" si="410"/>
        <v>242.4</v>
      </c>
      <c r="Y58" s="26">
        <f t="shared" si="410"/>
        <v>242.4</v>
      </c>
      <c r="Z58" s="26">
        <f t="shared" si="410"/>
        <v>242.4</v>
      </c>
      <c r="AA58" s="26">
        <f t="shared" si="410"/>
        <v>242.4</v>
      </c>
      <c r="AB58" s="26">
        <f t="shared" si="410"/>
        <v>242.4</v>
      </c>
      <c r="AC58" s="26">
        <f t="shared" si="410"/>
        <v>242.4</v>
      </c>
      <c r="AD58" s="26">
        <f t="shared" si="410"/>
        <v>242.4</v>
      </c>
      <c r="AE58" s="26">
        <f t="shared" si="410"/>
        <v>242.4</v>
      </c>
      <c r="AF58" s="26">
        <f t="shared" si="410"/>
        <v>242.4</v>
      </c>
      <c r="AG58" s="5"/>
      <c r="AH58" s="26">
        <f>'Cálculo kit higiene'!J31</f>
        <v>372.6</v>
      </c>
      <c r="AI58" s="26">
        <f t="shared" ref="AI58:AS58" si="411">AH58</f>
        <v>372.6</v>
      </c>
      <c r="AJ58" s="26">
        <f t="shared" si="411"/>
        <v>372.6</v>
      </c>
      <c r="AK58" s="26">
        <f t="shared" si="411"/>
        <v>372.6</v>
      </c>
      <c r="AL58" s="26">
        <f t="shared" si="411"/>
        <v>372.6</v>
      </c>
      <c r="AM58" s="26">
        <f t="shared" si="411"/>
        <v>372.6</v>
      </c>
      <c r="AN58" s="26">
        <f t="shared" si="411"/>
        <v>372.6</v>
      </c>
      <c r="AO58" s="26">
        <f t="shared" si="411"/>
        <v>372.6</v>
      </c>
      <c r="AP58" s="26">
        <f t="shared" si="411"/>
        <v>372.6</v>
      </c>
      <c r="AQ58" s="26">
        <f t="shared" si="411"/>
        <v>372.6</v>
      </c>
      <c r="AR58" s="26">
        <f t="shared" si="411"/>
        <v>372.6</v>
      </c>
      <c r="AS58" s="26">
        <f t="shared" si="411"/>
        <v>372.6</v>
      </c>
      <c r="AU58" s="26">
        <f>'Cálculo kit higiene'!J32</f>
        <v>464.8</v>
      </c>
      <c r="AV58" s="26">
        <f t="shared" ref="AV58:BF58" si="412">AU58</f>
        <v>464.8</v>
      </c>
      <c r="AW58" s="26">
        <f t="shared" si="412"/>
        <v>464.8</v>
      </c>
      <c r="AX58" s="26">
        <f t="shared" si="412"/>
        <v>464.8</v>
      </c>
      <c r="AY58" s="26">
        <f t="shared" si="412"/>
        <v>464.8</v>
      </c>
      <c r="AZ58" s="26">
        <f t="shared" si="412"/>
        <v>464.8</v>
      </c>
      <c r="BA58" s="26">
        <f t="shared" si="412"/>
        <v>464.8</v>
      </c>
      <c r="BB58" s="26">
        <f t="shared" si="412"/>
        <v>464.8</v>
      </c>
      <c r="BC58" s="26">
        <f t="shared" si="412"/>
        <v>464.8</v>
      </c>
      <c r="BD58" s="26">
        <f t="shared" si="412"/>
        <v>464.8</v>
      </c>
      <c r="BE58" s="26">
        <f t="shared" si="412"/>
        <v>464.8</v>
      </c>
      <c r="BF58" s="26">
        <f t="shared" si="412"/>
        <v>464.8</v>
      </c>
      <c r="BH58" s="26">
        <f>'Cálculo kit higiene'!J33</f>
        <v>560.79999999999995</v>
      </c>
      <c r="BI58" s="26">
        <f t="shared" ref="BI58:BS58" si="413">BH58</f>
        <v>560.79999999999995</v>
      </c>
      <c r="BJ58" s="26">
        <f t="shared" si="413"/>
        <v>560.79999999999995</v>
      </c>
      <c r="BK58" s="26">
        <f t="shared" si="413"/>
        <v>560.79999999999995</v>
      </c>
      <c r="BL58" s="26">
        <f t="shared" si="413"/>
        <v>560.79999999999995</v>
      </c>
      <c r="BM58" s="26">
        <f t="shared" si="413"/>
        <v>560.79999999999995</v>
      </c>
      <c r="BN58" s="26">
        <f t="shared" si="413"/>
        <v>560.79999999999995</v>
      </c>
      <c r="BO58" s="26">
        <f t="shared" si="413"/>
        <v>560.79999999999995</v>
      </c>
      <c r="BP58" s="26">
        <f t="shared" si="413"/>
        <v>560.79999999999995</v>
      </c>
      <c r="BQ58" s="26">
        <f t="shared" si="413"/>
        <v>560.79999999999995</v>
      </c>
      <c r="BR58" s="26">
        <f t="shared" si="413"/>
        <v>560.79999999999995</v>
      </c>
      <c r="BS58" s="26">
        <f t="shared" si="413"/>
        <v>560.79999999999995</v>
      </c>
      <c r="BU58" s="26">
        <f>'Cálculo kit higiene'!J34</f>
        <v>653</v>
      </c>
      <c r="BV58" s="26">
        <f t="shared" ref="BV58:CF58" si="414">BU58</f>
        <v>653</v>
      </c>
      <c r="BW58" s="26">
        <f t="shared" si="414"/>
        <v>653</v>
      </c>
      <c r="BX58" s="26">
        <f t="shared" si="414"/>
        <v>653</v>
      </c>
      <c r="BY58" s="26">
        <f t="shared" si="414"/>
        <v>653</v>
      </c>
      <c r="BZ58" s="26">
        <f t="shared" si="414"/>
        <v>653</v>
      </c>
      <c r="CA58" s="26">
        <f t="shared" si="414"/>
        <v>653</v>
      </c>
      <c r="CB58" s="26">
        <f t="shared" si="414"/>
        <v>653</v>
      </c>
      <c r="CC58" s="26">
        <f t="shared" si="414"/>
        <v>653</v>
      </c>
      <c r="CD58" s="26">
        <f t="shared" si="414"/>
        <v>653</v>
      </c>
      <c r="CE58" s="26">
        <f t="shared" si="414"/>
        <v>653</v>
      </c>
      <c r="CF58" s="26">
        <f t="shared" si="414"/>
        <v>653</v>
      </c>
      <c r="CH58" s="309">
        <f>'Cálculo kit higiene'!J34</f>
        <v>653</v>
      </c>
      <c r="CI58" s="309">
        <f t="shared" ref="CI58:CS58" si="415">CH58</f>
        <v>653</v>
      </c>
      <c r="CJ58" s="309">
        <f t="shared" si="415"/>
        <v>653</v>
      </c>
      <c r="CK58" s="309">
        <f t="shared" si="415"/>
        <v>653</v>
      </c>
      <c r="CL58" s="309">
        <f t="shared" si="415"/>
        <v>653</v>
      </c>
      <c r="CM58" s="309">
        <f t="shared" si="415"/>
        <v>653</v>
      </c>
      <c r="CN58" s="309">
        <f t="shared" si="415"/>
        <v>653</v>
      </c>
      <c r="CO58" s="309">
        <f t="shared" si="415"/>
        <v>653</v>
      </c>
      <c r="CP58" s="309">
        <f t="shared" si="415"/>
        <v>653</v>
      </c>
      <c r="CQ58" s="309">
        <f t="shared" si="415"/>
        <v>653</v>
      </c>
      <c r="CR58" s="309">
        <f t="shared" si="415"/>
        <v>653</v>
      </c>
      <c r="CS58" s="309">
        <f t="shared" si="415"/>
        <v>653</v>
      </c>
      <c r="CU58" s="313">
        <f>'Cálculo kit higiene'!J35</f>
        <v>707.2</v>
      </c>
      <c r="CV58" s="313">
        <f t="shared" ref="CV58:DF58" si="416">CU58</f>
        <v>707.2</v>
      </c>
      <c r="CW58" s="313">
        <f t="shared" si="416"/>
        <v>707.2</v>
      </c>
      <c r="CX58" s="313">
        <f t="shared" si="416"/>
        <v>707.2</v>
      </c>
      <c r="CY58" s="313">
        <f t="shared" si="416"/>
        <v>707.2</v>
      </c>
      <c r="CZ58" s="313">
        <f t="shared" si="416"/>
        <v>707.2</v>
      </c>
      <c r="DA58" s="313">
        <f t="shared" si="416"/>
        <v>707.2</v>
      </c>
      <c r="DB58" s="313">
        <f t="shared" si="416"/>
        <v>707.2</v>
      </c>
      <c r="DC58" s="313">
        <f t="shared" si="416"/>
        <v>707.2</v>
      </c>
      <c r="DD58" s="313">
        <f t="shared" si="416"/>
        <v>707.2</v>
      </c>
      <c r="DE58" s="313">
        <f t="shared" si="416"/>
        <v>707.2</v>
      </c>
      <c r="DF58" s="313">
        <f t="shared" si="416"/>
        <v>707.2</v>
      </c>
    </row>
    <row r="59" spans="1:110" ht="15.75" thickBot="1">
      <c r="A59" s="16" t="s">
        <v>82</v>
      </c>
      <c r="B59" s="10" t="s">
        <v>83</v>
      </c>
      <c r="D59" s="10"/>
      <c r="E59" s="10"/>
      <c r="F59" s="10"/>
      <c r="G59" s="10"/>
      <c r="H59" s="39">
        <f>SUM(H60)</f>
        <v>0</v>
      </c>
      <c r="I59" s="39">
        <f t="shared" ref="I59:S59" si="417">SUM(I60)</f>
        <v>0</v>
      </c>
      <c r="J59" s="39">
        <f t="shared" si="417"/>
        <v>0</v>
      </c>
      <c r="K59" s="39">
        <f t="shared" si="417"/>
        <v>0</v>
      </c>
      <c r="L59" s="39">
        <f t="shared" si="417"/>
        <v>0</v>
      </c>
      <c r="M59" s="39">
        <f t="shared" si="417"/>
        <v>0</v>
      </c>
      <c r="N59" s="39">
        <f t="shared" si="417"/>
        <v>0</v>
      </c>
      <c r="O59" s="39">
        <f t="shared" si="417"/>
        <v>0</v>
      </c>
      <c r="P59" s="39">
        <f t="shared" si="417"/>
        <v>0</v>
      </c>
      <c r="Q59" s="39">
        <f t="shared" si="417"/>
        <v>0</v>
      </c>
      <c r="R59" s="39">
        <f t="shared" si="417"/>
        <v>0</v>
      </c>
      <c r="S59" s="39">
        <f t="shared" si="417"/>
        <v>0</v>
      </c>
      <c r="T59" s="5"/>
      <c r="U59" s="39">
        <f>SUM(U60)</f>
        <v>0</v>
      </c>
      <c r="V59" s="39">
        <f t="shared" ref="V59:AF59" si="418">SUM(V60)</f>
        <v>0</v>
      </c>
      <c r="W59" s="39">
        <f t="shared" si="418"/>
        <v>0</v>
      </c>
      <c r="X59" s="39">
        <f t="shared" si="418"/>
        <v>0</v>
      </c>
      <c r="Y59" s="39">
        <f t="shared" si="418"/>
        <v>0</v>
      </c>
      <c r="Z59" s="39">
        <f t="shared" si="418"/>
        <v>0</v>
      </c>
      <c r="AA59" s="39">
        <f t="shared" si="418"/>
        <v>0</v>
      </c>
      <c r="AB59" s="39">
        <f t="shared" si="418"/>
        <v>0</v>
      </c>
      <c r="AC59" s="39">
        <f t="shared" si="418"/>
        <v>0</v>
      </c>
      <c r="AD59" s="39">
        <f t="shared" si="418"/>
        <v>0</v>
      </c>
      <c r="AE59" s="39">
        <f t="shared" si="418"/>
        <v>0</v>
      </c>
      <c r="AF59" s="39">
        <f t="shared" si="418"/>
        <v>0</v>
      </c>
      <c r="AG59" s="5"/>
      <c r="AH59" s="39">
        <f>SUM(AH60)</f>
        <v>0</v>
      </c>
      <c r="AI59" s="39">
        <f t="shared" ref="AI59:AS59" si="419">SUM(AI60)</f>
        <v>0</v>
      </c>
      <c r="AJ59" s="39">
        <f t="shared" si="419"/>
        <v>0</v>
      </c>
      <c r="AK59" s="39">
        <f t="shared" si="419"/>
        <v>0</v>
      </c>
      <c r="AL59" s="39">
        <f t="shared" si="419"/>
        <v>0</v>
      </c>
      <c r="AM59" s="39">
        <f t="shared" si="419"/>
        <v>0</v>
      </c>
      <c r="AN59" s="39">
        <f t="shared" si="419"/>
        <v>0</v>
      </c>
      <c r="AO59" s="39">
        <f t="shared" si="419"/>
        <v>0</v>
      </c>
      <c r="AP59" s="39">
        <f t="shared" si="419"/>
        <v>0</v>
      </c>
      <c r="AQ59" s="39">
        <f t="shared" si="419"/>
        <v>0</v>
      </c>
      <c r="AR59" s="39">
        <f t="shared" si="419"/>
        <v>0</v>
      </c>
      <c r="AS59" s="39">
        <f t="shared" si="419"/>
        <v>0</v>
      </c>
      <c r="AU59" s="39">
        <f>SUM(AU60)</f>
        <v>0</v>
      </c>
      <c r="AV59" s="39">
        <f t="shared" ref="AV59:BF59" si="420">SUM(AV60)</f>
        <v>0</v>
      </c>
      <c r="AW59" s="39">
        <f t="shared" si="420"/>
        <v>0</v>
      </c>
      <c r="AX59" s="39">
        <f t="shared" si="420"/>
        <v>0</v>
      </c>
      <c r="AY59" s="39">
        <f t="shared" si="420"/>
        <v>0</v>
      </c>
      <c r="AZ59" s="39">
        <f t="shared" si="420"/>
        <v>0</v>
      </c>
      <c r="BA59" s="39">
        <f t="shared" si="420"/>
        <v>0</v>
      </c>
      <c r="BB59" s="39">
        <f t="shared" si="420"/>
        <v>0</v>
      </c>
      <c r="BC59" s="39">
        <f t="shared" si="420"/>
        <v>0</v>
      </c>
      <c r="BD59" s="39">
        <f t="shared" si="420"/>
        <v>0</v>
      </c>
      <c r="BE59" s="39">
        <f t="shared" si="420"/>
        <v>0</v>
      </c>
      <c r="BF59" s="39">
        <f t="shared" si="420"/>
        <v>0</v>
      </c>
      <c r="BH59" s="39">
        <f>SUM(BH60)</f>
        <v>0</v>
      </c>
      <c r="BI59" s="39">
        <f t="shared" ref="BI59:BS59" si="421">SUM(BI60)</f>
        <v>0</v>
      </c>
      <c r="BJ59" s="39">
        <f t="shared" si="421"/>
        <v>0</v>
      </c>
      <c r="BK59" s="39">
        <f t="shared" si="421"/>
        <v>0</v>
      </c>
      <c r="BL59" s="39">
        <f t="shared" si="421"/>
        <v>0</v>
      </c>
      <c r="BM59" s="39">
        <f t="shared" si="421"/>
        <v>0</v>
      </c>
      <c r="BN59" s="39">
        <f t="shared" si="421"/>
        <v>0</v>
      </c>
      <c r="BO59" s="39">
        <f t="shared" si="421"/>
        <v>0</v>
      </c>
      <c r="BP59" s="39">
        <f t="shared" si="421"/>
        <v>0</v>
      </c>
      <c r="BQ59" s="39">
        <f t="shared" si="421"/>
        <v>0</v>
      </c>
      <c r="BR59" s="39">
        <f t="shared" si="421"/>
        <v>0</v>
      </c>
      <c r="BS59" s="39">
        <f t="shared" si="421"/>
        <v>0</v>
      </c>
      <c r="BU59" s="39">
        <f>SUM(BU60)</f>
        <v>0</v>
      </c>
      <c r="BV59" s="39">
        <f t="shared" ref="BV59:CF59" si="422">SUM(BV60)</f>
        <v>0</v>
      </c>
      <c r="BW59" s="39">
        <f t="shared" si="422"/>
        <v>0</v>
      </c>
      <c r="BX59" s="39">
        <f t="shared" si="422"/>
        <v>0</v>
      </c>
      <c r="BY59" s="39">
        <f t="shared" si="422"/>
        <v>0</v>
      </c>
      <c r="BZ59" s="39">
        <f t="shared" si="422"/>
        <v>0</v>
      </c>
      <c r="CA59" s="39">
        <f t="shared" si="422"/>
        <v>0</v>
      </c>
      <c r="CB59" s="39">
        <f t="shared" si="422"/>
        <v>0</v>
      </c>
      <c r="CC59" s="39">
        <f t="shared" si="422"/>
        <v>0</v>
      </c>
      <c r="CD59" s="39">
        <f t="shared" si="422"/>
        <v>0</v>
      </c>
      <c r="CE59" s="39">
        <f t="shared" si="422"/>
        <v>0</v>
      </c>
      <c r="CF59" s="39">
        <f t="shared" si="422"/>
        <v>0</v>
      </c>
      <c r="CH59" s="313">
        <f>SUM(CH60)</f>
        <v>0</v>
      </c>
      <c r="CI59" s="313">
        <f t="shared" ref="CI59:CS59" si="423">SUM(CI60)</f>
        <v>0</v>
      </c>
      <c r="CJ59" s="313">
        <f t="shared" si="423"/>
        <v>0</v>
      </c>
      <c r="CK59" s="313">
        <f t="shared" si="423"/>
        <v>0</v>
      </c>
      <c r="CL59" s="313">
        <f t="shared" si="423"/>
        <v>0</v>
      </c>
      <c r="CM59" s="313">
        <f t="shared" si="423"/>
        <v>0</v>
      </c>
      <c r="CN59" s="313">
        <f t="shared" si="423"/>
        <v>0</v>
      </c>
      <c r="CO59" s="313">
        <f t="shared" si="423"/>
        <v>0</v>
      </c>
      <c r="CP59" s="313">
        <f t="shared" si="423"/>
        <v>0</v>
      </c>
      <c r="CQ59" s="313">
        <f t="shared" si="423"/>
        <v>0</v>
      </c>
      <c r="CR59" s="313">
        <f t="shared" si="423"/>
        <v>0</v>
      </c>
      <c r="CS59" s="313">
        <f t="shared" si="423"/>
        <v>0</v>
      </c>
      <c r="CU59" s="313">
        <f>SUM(CU60)</f>
        <v>0</v>
      </c>
      <c r="CV59" s="313">
        <f t="shared" ref="CV59:DF59" si="424">SUM(CV60)</f>
        <v>0</v>
      </c>
      <c r="CW59" s="313">
        <f t="shared" si="424"/>
        <v>0</v>
      </c>
      <c r="CX59" s="313">
        <f t="shared" si="424"/>
        <v>0</v>
      </c>
      <c r="CY59" s="313">
        <f t="shared" si="424"/>
        <v>0</v>
      </c>
      <c r="CZ59" s="313">
        <f t="shared" si="424"/>
        <v>0</v>
      </c>
      <c r="DA59" s="313">
        <f t="shared" si="424"/>
        <v>0</v>
      </c>
      <c r="DB59" s="313">
        <f t="shared" si="424"/>
        <v>0</v>
      </c>
      <c r="DC59" s="313">
        <f t="shared" si="424"/>
        <v>0</v>
      </c>
      <c r="DD59" s="313">
        <f t="shared" si="424"/>
        <v>0</v>
      </c>
      <c r="DE59" s="313">
        <f t="shared" si="424"/>
        <v>0</v>
      </c>
      <c r="DF59" s="313">
        <f t="shared" si="424"/>
        <v>0</v>
      </c>
    </row>
    <row r="60" spans="1:110" ht="15" thickBot="1">
      <c r="A60" s="19" t="s">
        <v>84</v>
      </c>
      <c r="B60" s="5" t="s">
        <v>85</v>
      </c>
      <c r="D60" s="5"/>
      <c r="E60" s="5"/>
      <c r="F60" s="5"/>
      <c r="G60" s="5"/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5"/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5"/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  <c r="CH60" s="313">
        <v>0</v>
      </c>
      <c r="CI60" s="313">
        <v>0</v>
      </c>
      <c r="CJ60" s="313">
        <v>0</v>
      </c>
      <c r="CK60" s="313">
        <v>0</v>
      </c>
      <c r="CL60" s="313">
        <v>0</v>
      </c>
      <c r="CM60" s="313">
        <v>0</v>
      </c>
      <c r="CN60" s="313">
        <v>0</v>
      </c>
      <c r="CO60" s="313">
        <v>0</v>
      </c>
      <c r="CP60" s="313">
        <v>0</v>
      </c>
      <c r="CQ60" s="313">
        <v>0</v>
      </c>
      <c r="CR60" s="313">
        <v>0</v>
      </c>
      <c r="CS60" s="313">
        <v>0</v>
      </c>
      <c r="CU60" s="313">
        <v>0</v>
      </c>
      <c r="CV60" s="313">
        <v>0</v>
      </c>
      <c r="CW60" s="313">
        <v>0</v>
      </c>
      <c r="CX60" s="313">
        <v>0</v>
      </c>
      <c r="CY60" s="313">
        <v>0</v>
      </c>
      <c r="CZ60" s="313">
        <v>0</v>
      </c>
      <c r="DA60" s="313">
        <v>0</v>
      </c>
      <c r="DB60" s="313">
        <v>0</v>
      </c>
      <c r="DC60" s="313">
        <v>0</v>
      </c>
      <c r="DD60" s="313">
        <v>0</v>
      </c>
      <c r="DE60" s="313">
        <v>0</v>
      </c>
      <c r="DF60" s="313">
        <v>0</v>
      </c>
    </row>
    <row r="61" spans="1:110" ht="15.75" thickBot="1">
      <c r="A61" s="16" t="s">
        <v>86</v>
      </c>
      <c r="B61" s="10" t="s">
        <v>87</v>
      </c>
      <c r="D61" s="10"/>
      <c r="E61" s="10"/>
      <c r="F61" s="10"/>
      <c r="G61" s="10"/>
      <c r="H61" s="39">
        <f>SUM(H62+H63)</f>
        <v>0</v>
      </c>
      <c r="I61" s="39">
        <f t="shared" ref="I61:S61" si="425">SUM(I62+I63)</f>
        <v>0</v>
      </c>
      <c r="J61" s="39">
        <f t="shared" si="425"/>
        <v>0</v>
      </c>
      <c r="K61" s="39">
        <f t="shared" si="425"/>
        <v>0</v>
      </c>
      <c r="L61" s="39">
        <f t="shared" si="425"/>
        <v>0</v>
      </c>
      <c r="M61" s="39">
        <f t="shared" si="425"/>
        <v>0</v>
      </c>
      <c r="N61" s="39">
        <f t="shared" si="425"/>
        <v>0</v>
      </c>
      <c r="O61" s="39">
        <f t="shared" si="425"/>
        <v>0</v>
      </c>
      <c r="P61" s="39">
        <f t="shared" si="425"/>
        <v>0</v>
      </c>
      <c r="Q61" s="39">
        <f t="shared" si="425"/>
        <v>0</v>
      </c>
      <c r="R61" s="39">
        <f t="shared" si="425"/>
        <v>0</v>
      </c>
      <c r="S61" s="39">
        <f t="shared" si="425"/>
        <v>0</v>
      </c>
      <c r="T61" s="5"/>
      <c r="U61" s="39">
        <f>SUM(U62+U63)</f>
        <v>0</v>
      </c>
      <c r="V61" s="39">
        <f t="shared" ref="V61:AF61" si="426">SUM(V62+V63)</f>
        <v>0</v>
      </c>
      <c r="W61" s="39">
        <f t="shared" si="426"/>
        <v>0</v>
      </c>
      <c r="X61" s="39">
        <f t="shared" si="426"/>
        <v>0</v>
      </c>
      <c r="Y61" s="39">
        <f t="shared" si="426"/>
        <v>0</v>
      </c>
      <c r="Z61" s="39">
        <f t="shared" si="426"/>
        <v>0</v>
      </c>
      <c r="AA61" s="39">
        <f t="shared" si="426"/>
        <v>0</v>
      </c>
      <c r="AB61" s="39">
        <f t="shared" si="426"/>
        <v>0</v>
      </c>
      <c r="AC61" s="39">
        <f t="shared" si="426"/>
        <v>0</v>
      </c>
      <c r="AD61" s="39">
        <f t="shared" si="426"/>
        <v>0</v>
      </c>
      <c r="AE61" s="39">
        <f t="shared" si="426"/>
        <v>0</v>
      </c>
      <c r="AF61" s="39">
        <f t="shared" si="426"/>
        <v>0</v>
      </c>
      <c r="AG61" s="5"/>
      <c r="AH61" s="39">
        <f>SUM(AH62+AH63)</f>
        <v>0</v>
      </c>
      <c r="AI61" s="39">
        <f t="shared" ref="AI61:AS61" si="427">SUM(AI62+AI63)</f>
        <v>0</v>
      </c>
      <c r="AJ61" s="39">
        <f t="shared" si="427"/>
        <v>0</v>
      </c>
      <c r="AK61" s="39">
        <f t="shared" si="427"/>
        <v>0</v>
      </c>
      <c r="AL61" s="39">
        <f t="shared" si="427"/>
        <v>0</v>
      </c>
      <c r="AM61" s="39">
        <f t="shared" si="427"/>
        <v>0</v>
      </c>
      <c r="AN61" s="39">
        <f t="shared" si="427"/>
        <v>0</v>
      </c>
      <c r="AO61" s="39">
        <f t="shared" si="427"/>
        <v>0</v>
      </c>
      <c r="AP61" s="39">
        <f t="shared" si="427"/>
        <v>0</v>
      </c>
      <c r="AQ61" s="39">
        <f t="shared" si="427"/>
        <v>0</v>
      </c>
      <c r="AR61" s="39">
        <f t="shared" si="427"/>
        <v>0</v>
      </c>
      <c r="AS61" s="39">
        <f t="shared" si="427"/>
        <v>0</v>
      </c>
      <c r="AU61" s="39">
        <f>SUM(AU62+AU63)</f>
        <v>0</v>
      </c>
      <c r="AV61" s="39">
        <f t="shared" ref="AV61:BF61" si="428">SUM(AV62+AV63)</f>
        <v>0</v>
      </c>
      <c r="AW61" s="39">
        <f t="shared" si="428"/>
        <v>0</v>
      </c>
      <c r="AX61" s="39">
        <f t="shared" si="428"/>
        <v>0</v>
      </c>
      <c r="AY61" s="39">
        <f t="shared" si="428"/>
        <v>0</v>
      </c>
      <c r="AZ61" s="39">
        <f t="shared" si="428"/>
        <v>0</v>
      </c>
      <c r="BA61" s="39">
        <f t="shared" si="428"/>
        <v>0</v>
      </c>
      <c r="BB61" s="39">
        <f t="shared" si="428"/>
        <v>0</v>
      </c>
      <c r="BC61" s="39">
        <f t="shared" si="428"/>
        <v>0</v>
      </c>
      <c r="BD61" s="39">
        <f t="shared" si="428"/>
        <v>0</v>
      </c>
      <c r="BE61" s="39">
        <f t="shared" si="428"/>
        <v>0</v>
      </c>
      <c r="BF61" s="39">
        <f t="shared" si="428"/>
        <v>0</v>
      </c>
      <c r="BH61" s="39">
        <f>SUM(BH62+BH63)</f>
        <v>0</v>
      </c>
      <c r="BI61" s="39">
        <f t="shared" ref="BI61:BS61" si="429">SUM(BI62+BI63)</f>
        <v>0</v>
      </c>
      <c r="BJ61" s="39">
        <f t="shared" si="429"/>
        <v>0</v>
      </c>
      <c r="BK61" s="39">
        <f t="shared" si="429"/>
        <v>0</v>
      </c>
      <c r="BL61" s="39">
        <f t="shared" si="429"/>
        <v>0</v>
      </c>
      <c r="BM61" s="39">
        <f t="shared" si="429"/>
        <v>0</v>
      </c>
      <c r="BN61" s="39">
        <f t="shared" si="429"/>
        <v>0</v>
      </c>
      <c r="BO61" s="39">
        <f t="shared" si="429"/>
        <v>0</v>
      </c>
      <c r="BP61" s="39">
        <f t="shared" si="429"/>
        <v>0</v>
      </c>
      <c r="BQ61" s="39">
        <f t="shared" si="429"/>
        <v>0</v>
      </c>
      <c r="BR61" s="39">
        <f t="shared" si="429"/>
        <v>0</v>
      </c>
      <c r="BS61" s="39">
        <f t="shared" si="429"/>
        <v>0</v>
      </c>
      <c r="BU61" s="39">
        <f>SUM(BU62+BU63)</f>
        <v>0</v>
      </c>
      <c r="BV61" s="39">
        <f t="shared" ref="BV61:CF61" si="430">SUM(BV62+BV63)</f>
        <v>0</v>
      </c>
      <c r="BW61" s="39">
        <f t="shared" si="430"/>
        <v>0</v>
      </c>
      <c r="BX61" s="39">
        <f t="shared" si="430"/>
        <v>0</v>
      </c>
      <c r="BY61" s="39">
        <f t="shared" si="430"/>
        <v>0</v>
      </c>
      <c r="BZ61" s="39">
        <f t="shared" si="430"/>
        <v>0</v>
      </c>
      <c r="CA61" s="39">
        <f t="shared" si="430"/>
        <v>0</v>
      </c>
      <c r="CB61" s="39">
        <f t="shared" si="430"/>
        <v>0</v>
      </c>
      <c r="CC61" s="39">
        <f t="shared" si="430"/>
        <v>0</v>
      </c>
      <c r="CD61" s="39">
        <f t="shared" si="430"/>
        <v>0</v>
      </c>
      <c r="CE61" s="39">
        <f t="shared" si="430"/>
        <v>0</v>
      </c>
      <c r="CF61" s="39">
        <f t="shared" si="430"/>
        <v>0</v>
      </c>
      <c r="CH61" s="313">
        <f>SUM(CH62:CH63)</f>
        <v>0</v>
      </c>
      <c r="CI61" s="313">
        <f t="shared" ref="CI61:CS61" si="431">SUM(CI62:CI63)</f>
        <v>0</v>
      </c>
      <c r="CJ61" s="313">
        <f t="shared" si="431"/>
        <v>0</v>
      </c>
      <c r="CK61" s="313">
        <f t="shared" si="431"/>
        <v>0</v>
      </c>
      <c r="CL61" s="313">
        <f t="shared" si="431"/>
        <v>0</v>
      </c>
      <c r="CM61" s="313">
        <f t="shared" si="431"/>
        <v>0</v>
      </c>
      <c r="CN61" s="313">
        <f t="shared" si="431"/>
        <v>0</v>
      </c>
      <c r="CO61" s="313">
        <f t="shared" si="431"/>
        <v>0</v>
      </c>
      <c r="CP61" s="313">
        <f t="shared" si="431"/>
        <v>0</v>
      </c>
      <c r="CQ61" s="313">
        <f t="shared" si="431"/>
        <v>0</v>
      </c>
      <c r="CR61" s="313">
        <f t="shared" si="431"/>
        <v>0</v>
      </c>
      <c r="CS61" s="313">
        <f t="shared" si="431"/>
        <v>0</v>
      </c>
      <c r="CU61" s="313">
        <f>SUM(CU62:CU63)</f>
        <v>0</v>
      </c>
      <c r="CV61" s="313">
        <f t="shared" ref="CV61:DF61" si="432">SUM(CV62:CV63)</f>
        <v>0</v>
      </c>
      <c r="CW61" s="313">
        <f t="shared" si="432"/>
        <v>0</v>
      </c>
      <c r="CX61" s="313">
        <f t="shared" si="432"/>
        <v>0</v>
      </c>
      <c r="CY61" s="313">
        <f t="shared" si="432"/>
        <v>0</v>
      </c>
      <c r="CZ61" s="313">
        <f t="shared" si="432"/>
        <v>0</v>
      </c>
      <c r="DA61" s="313">
        <f t="shared" si="432"/>
        <v>0</v>
      </c>
      <c r="DB61" s="313">
        <f t="shared" si="432"/>
        <v>0</v>
      </c>
      <c r="DC61" s="313">
        <f t="shared" si="432"/>
        <v>0</v>
      </c>
      <c r="DD61" s="313">
        <f t="shared" si="432"/>
        <v>0</v>
      </c>
      <c r="DE61" s="313">
        <f t="shared" si="432"/>
        <v>0</v>
      </c>
      <c r="DF61" s="313">
        <f t="shared" si="432"/>
        <v>0</v>
      </c>
    </row>
    <row r="62" spans="1:110" ht="15" thickBot="1">
      <c r="A62" s="19" t="s">
        <v>88</v>
      </c>
      <c r="B62" s="5" t="s">
        <v>89</v>
      </c>
      <c r="D62" s="5"/>
      <c r="E62" s="5"/>
      <c r="F62" s="5"/>
      <c r="G62" s="5"/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5"/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5"/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U62" s="26">
        <v>0</v>
      </c>
      <c r="BV62" s="26">
        <v>0</v>
      </c>
      <c r="BW62" s="26">
        <v>0</v>
      </c>
      <c r="BX62" s="26">
        <v>0</v>
      </c>
      <c r="BY62" s="26">
        <v>0</v>
      </c>
      <c r="BZ62" s="26">
        <v>0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  <c r="CH62" s="313">
        <v>0</v>
      </c>
      <c r="CI62" s="313">
        <v>0</v>
      </c>
      <c r="CJ62" s="313">
        <v>0</v>
      </c>
      <c r="CK62" s="313">
        <v>0</v>
      </c>
      <c r="CL62" s="313">
        <v>0</v>
      </c>
      <c r="CM62" s="313">
        <v>0</v>
      </c>
      <c r="CN62" s="313">
        <v>0</v>
      </c>
      <c r="CO62" s="313">
        <v>0</v>
      </c>
      <c r="CP62" s="313">
        <v>0</v>
      </c>
      <c r="CQ62" s="313">
        <v>0</v>
      </c>
      <c r="CR62" s="313">
        <v>0</v>
      </c>
      <c r="CS62" s="313">
        <v>0</v>
      </c>
      <c r="CU62" s="313">
        <v>0</v>
      </c>
      <c r="CV62" s="313">
        <v>0</v>
      </c>
      <c r="CW62" s="313">
        <v>0</v>
      </c>
      <c r="CX62" s="313">
        <v>0</v>
      </c>
      <c r="CY62" s="313">
        <v>0</v>
      </c>
      <c r="CZ62" s="313">
        <v>0</v>
      </c>
      <c r="DA62" s="313">
        <v>0</v>
      </c>
      <c r="DB62" s="313">
        <v>0</v>
      </c>
      <c r="DC62" s="313">
        <v>0</v>
      </c>
      <c r="DD62" s="313">
        <v>0</v>
      </c>
      <c r="DE62" s="313">
        <v>0</v>
      </c>
      <c r="DF62" s="313">
        <v>0</v>
      </c>
    </row>
    <row r="63" spans="1:110" ht="15" thickBot="1">
      <c r="A63" s="19" t="s">
        <v>90</v>
      </c>
      <c r="B63" s="5" t="s">
        <v>91</v>
      </c>
      <c r="D63" s="5"/>
      <c r="E63" s="5"/>
      <c r="F63" s="5"/>
      <c r="G63" s="5"/>
      <c r="H63" s="26">
        <f>SUM(H64:H66)</f>
        <v>0</v>
      </c>
      <c r="I63" s="26">
        <f t="shared" ref="I63:S63" si="433">SUM(I64:I66)</f>
        <v>0</v>
      </c>
      <c r="J63" s="26">
        <f t="shared" si="433"/>
        <v>0</v>
      </c>
      <c r="K63" s="26">
        <f t="shared" si="433"/>
        <v>0</v>
      </c>
      <c r="L63" s="26">
        <f t="shared" si="433"/>
        <v>0</v>
      </c>
      <c r="M63" s="26">
        <f t="shared" si="433"/>
        <v>0</v>
      </c>
      <c r="N63" s="26">
        <f t="shared" si="433"/>
        <v>0</v>
      </c>
      <c r="O63" s="26">
        <f t="shared" si="433"/>
        <v>0</v>
      </c>
      <c r="P63" s="26">
        <f t="shared" si="433"/>
        <v>0</v>
      </c>
      <c r="Q63" s="26">
        <f t="shared" si="433"/>
        <v>0</v>
      </c>
      <c r="R63" s="26">
        <f t="shared" si="433"/>
        <v>0</v>
      </c>
      <c r="S63" s="26">
        <f t="shared" si="433"/>
        <v>0</v>
      </c>
      <c r="T63" s="5"/>
      <c r="U63" s="26">
        <f>SUM(U64:U66)</f>
        <v>0</v>
      </c>
      <c r="V63" s="26">
        <f t="shared" ref="V63:AF63" si="434">SUM(V64:V66)</f>
        <v>0</v>
      </c>
      <c r="W63" s="26">
        <f t="shared" si="434"/>
        <v>0</v>
      </c>
      <c r="X63" s="26">
        <f t="shared" si="434"/>
        <v>0</v>
      </c>
      <c r="Y63" s="26">
        <f t="shared" si="434"/>
        <v>0</v>
      </c>
      <c r="Z63" s="26">
        <f t="shared" si="434"/>
        <v>0</v>
      </c>
      <c r="AA63" s="26">
        <f t="shared" si="434"/>
        <v>0</v>
      </c>
      <c r="AB63" s="26">
        <f t="shared" si="434"/>
        <v>0</v>
      </c>
      <c r="AC63" s="26">
        <f t="shared" si="434"/>
        <v>0</v>
      </c>
      <c r="AD63" s="26">
        <f t="shared" si="434"/>
        <v>0</v>
      </c>
      <c r="AE63" s="26">
        <f t="shared" si="434"/>
        <v>0</v>
      </c>
      <c r="AF63" s="26">
        <f t="shared" si="434"/>
        <v>0</v>
      </c>
      <c r="AG63" s="5"/>
      <c r="AH63" s="26">
        <f>SUM(AH64:AH66)</f>
        <v>0</v>
      </c>
      <c r="AI63" s="26">
        <f t="shared" ref="AI63:AS63" si="435">SUM(AI64:AI66)</f>
        <v>0</v>
      </c>
      <c r="AJ63" s="26">
        <f t="shared" si="435"/>
        <v>0</v>
      </c>
      <c r="AK63" s="26">
        <f t="shared" si="435"/>
        <v>0</v>
      </c>
      <c r="AL63" s="26">
        <f t="shared" si="435"/>
        <v>0</v>
      </c>
      <c r="AM63" s="26">
        <f t="shared" si="435"/>
        <v>0</v>
      </c>
      <c r="AN63" s="26">
        <f t="shared" si="435"/>
        <v>0</v>
      </c>
      <c r="AO63" s="26">
        <f t="shared" si="435"/>
        <v>0</v>
      </c>
      <c r="AP63" s="26">
        <f t="shared" si="435"/>
        <v>0</v>
      </c>
      <c r="AQ63" s="26">
        <f t="shared" si="435"/>
        <v>0</v>
      </c>
      <c r="AR63" s="26">
        <f t="shared" si="435"/>
        <v>0</v>
      </c>
      <c r="AS63" s="26">
        <f t="shared" si="435"/>
        <v>0</v>
      </c>
      <c r="AU63" s="26">
        <f>SUM(AU64:AU66)</f>
        <v>0</v>
      </c>
      <c r="AV63" s="26">
        <f t="shared" ref="AV63:BF63" si="436">SUM(AV64:AV66)</f>
        <v>0</v>
      </c>
      <c r="AW63" s="26">
        <f t="shared" si="436"/>
        <v>0</v>
      </c>
      <c r="AX63" s="26">
        <f t="shared" si="436"/>
        <v>0</v>
      </c>
      <c r="AY63" s="26">
        <f t="shared" si="436"/>
        <v>0</v>
      </c>
      <c r="AZ63" s="26">
        <f t="shared" si="436"/>
        <v>0</v>
      </c>
      <c r="BA63" s="26">
        <f t="shared" si="436"/>
        <v>0</v>
      </c>
      <c r="BB63" s="26">
        <f t="shared" si="436"/>
        <v>0</v>
      </c>
      <c r="BC63" s="26">
        <f t="shared" si="436"/>
        <v>0</v>
      </c>
      <c r="BD63" s="26">
        <f t="shared" si="436"/>
        <v>0</v>
      </c>
      <c r="BE63" s="26">
        <f t="shared" si="436"/>
        <v>0</v>
      </c>
      <c r="BF63" s="26">
        <f t="shared" si="436"/>
        <v>0</v>
      </c>
      <c r="BH63" s="26">
        <f>SUM(BH64:BH66)</f>
        <v>0</v>
      </c>
      <c r="BI63" s="26">
        <f t="shared" ref="BI63:BS63" si="437">SUM(BI64:BI66)</f>
        <v>0</v>
      </c>
      <c r="BJ63" s="26">
        <f t="shared" si="437"/>
        <v>0</v>
      </c>
      <c r="BK63" s="26">
        <f t="shared" si="437"/>
        <v>0</v>
      </c>
      <c r="BL63" s="26">
        <f t="shared" si="437"/>
        <v>0</v>
      </c>
      <c r="BM63" s="26">
        <f t="shared" si="437"/>
        <v>0</v>
      </c>
      <c r="BN63" s="26">
        <f t="shared" si="437"/>
        <v>0</v>
      </c>
      <c r="BO63" s="26">
        <f t="shared" si="437"/>
        <v>0</v>
      </c>
      <c r="BP63" s="26">
        <f t="shared" si="437"/>
        <v>0</v>
      </c>
      <c r="BQ63" s="26">
        <f t="shared" si="437"/>
        <v>0</v>
      </c>
      <c r="BR63" s="26">
        <f t="shared" si="437"/>
        <v>0</v>
      </c>
      <c r="BS63" s="26">
        <f t="shared" si="437"/>
        <v>0</v>
      </c>
      <c r="BU63" s="26">
        <f>SUM(BU64:BU66)</f>
        <v>0</v>
      </c>
      <c r="BV63" s="26">
        <f t="shared" ref="BV63:CF63" si="438">SUM(BV64:BV66)</f>
        <v>0</v>
      </c>
      <c r="BW63" s="26">
        <f t="shared" si="438"/>
        <v>0</v>
      </c>
      <c r="BX63" s="26">
        <f t="shared" si="438"/>
        <v>0</v>
      </c>
      <c r="BY63" s="26">
        <f t="shared" si="438"/>
        <v>0</v>
      </c>
      <c r="BZ63" s="26">
        <f t="shared" si="438"/>
        <v>0</v>
      </c>
      <c r="CA63" s="26">
        <f t="shared" si="438"/>
        <v>0</v>
      </c>
      <c r="CB63" s="26">
        <f t="shared" si="438"/>
        <v>0</v>
      </c>
      <c r="CC63" s="26">
        <f t="shared" si="438"/>
        <v>0</v>
      </c>
      <c r="CD63" s="26">
        <f t="shared" si="438"/>
        <v>0</v>
      </c>
      <c r="CE63" s="26">
        <f t="shared" si="438"/>
        <v>0</v>
      </c>
      <c r="CF63" s="26">
        <f t="shared" si="438"/>
        <v>0</v>
      </c>
      <c r="CH63" s="313">
        <f>SUM(CH64:CH66)</f>
        <v>0</v>
      </c>
      <c r="CI63" s="313">
        <f t="shared" ref="CI63:CS63" si="439">SUM(CI64:CI66)</f>
        <v>0</v>
      </c>
      <c r="CJ63" s="313">
        <f t="shared" si="439"/>
        <v>0</v>
      </c>
      <c r="CK63" s="313">
        <f t="shared" si="439"/>
        <v>0</v>
      </c>
      <c r="CL63" s="313">
        <f t="shared" si="439"/>
        <v>0</v>
      </c>
      <c r="CM63" s="313">
        <f t="shared" si="439"/>
        <v>0</v>
      </c>
      <c r="CN63" s="313">
        <f t="shared" si="439"/>
        <v>0</v>
      </c>
      <c r="CO63" s="313">
        <f t="shared" si="439"/>
        <v>0</v>
      </c>
      <c r="CP63" s="313">
        <f t="shared" si="439"/>
        <v>0</v>
      </c>
      <c r="CQ63" s="313">
        <f t="shared" si="439"/>
        <v>0</v>
      </c>
      <c r="CR63" s="313">
        <f t="shared" si="439"/>
        <v>0</v>
      </c>
      <c r="CS63" s="313">
        <f t="shared" si="439"/>
        <v>0</v>
      </c>
      <c r="CU63" s="313">
        <f>SUM(CU64:CU66)</f>
        <v>0</v>
      </c>
      <c r="CV63" s="313">
        <f t="shared" ref="CV63:DF63" si="440">SUM(CV64:CV66)</f>
        <v>0</v>
      </c>
      <c r="CW63" s="313">
        <f t="shared" si="440"/>
        <v>0</v>
      </c>
      <c r="CX63" s="313">
        <f t="shared" si="440"/>
        <v>0</v>
      </c>
      <c r="CY63" s="313">
        <f t="shared" si="440"/>
        <v>0</v>
      </c>
      <c r="CZ63" s="313">
        <f t="shared" si="440"/>
        <v>0</v>
      </c>
      <c r="DA63" s="313">
        <f t="shared" si="440"/>
        <v>0</v>
      </c>
      <c r="DB63" s="313">
        <f t="shared" si="440"/>
        <v>0</v>
      </c>
      <c r="DC63" s="313">
        <f t="shared" si="440"/>
        <v>0</v>
      </c>
      <c r="DD63" s="313">
        <f t="shared" si="440"/>
        <v>0</v>
      </c>
      <c r="DE63" s="313">
        <f t="shared" si="440"/>
        <v>0</v>
      </c>
      <c r="DF63" s="313">
        <f t="shared" si="440"/>
        <v>0</v>
      </c>
    </row>
    <row r="64" spans="1:110" ht="15.75" thickBot="1">
      <c r="A64" s="16" t="s">
        <v>92</v>
      </c>
      <c r="B64" s="10" t="s">
        <v>93</v>
      </c>
      <c r="D64" s="10"/>
      <c r="E64" s="10"/>
      <c r="F64" s="10"/>
      <c r="G64" s="10"/>
      <c r="H64" s="39">
        <f>SUM(H65:H66)</f>
        <v>0</v>
      </c>
      <c r="I64" s="39">
        <f t="shared" ref="I64:S64" si="441">SUM(I65:I66)</f>
        <v>0</v>
      </c>
      <c r="J64" s="39">
        <f t="shared" si="441"/>
        <v>0</v>
      </c>
      <c r="K64" s="39">
        <f t="shared" si="441"/>
        <v>0</v>
      </c>
      <c r="L64" s="39">
        <f t="shared" si="441"/>
        <v>0</v>
      </c>
      <c r="M64" s="39">
        <f t="shared" si="441"/>
        <v>0</v>
      </c>
      <c r="N64" s="39">
        <f t="shared" si="441"/>
        <v>0</v>
      </c>
      <c r="O64" s="39">
        <f t="shared" si="441"/>
        <v>0</v>
      </c>
      <c r="P64" s="39">
        <f t="shared" si="441"/>
        <v>0</v>
      </c>
      <c r="Q64" s="39">
        <f t="shared" si="441"/>
        <v>0</v>
      </c>
      <c r="R64" s="39">
        <f t="shared" si="441"/>
        <v>0</v>
      </c>
      <c r="S64" s="39">
        <f t="shared" si="441"/>
        <v>0</v>
      </c>
      <c r="T64" s="5"/>
      <c r="U64" s="39">
        <f>SUM(U65:U66)</f>
        <v>0</v>
      </c>
      <c r="V64" s="39">
        <f t="shared" ref="V64:AF64" si="442">SUM(V65:V66)</f>
        <v>0</v>
      </c>
      <c r="W64" s="39">
        <f t="shared" si="442"/>
        <v>0</v>
      </c>
      <c r="X64" s="39">
        <f t="shared" si="442"/>
        <v>0</v>
      </c>
      <c r="Y64" s="39">
        <f t="shared" si="442"/>
        <v>0</v>
      </c>
      <c r="Z64" s="39">
        <f t="shared" si="442"/>
        <v>0</v>
      </c>
      <c r="AA64" s="39">
        <f t="shared" si="442"/>
        <v>0</v>
      </c>
      <c r="AB64" s="39">
        <f t="shared" si="442"/>
        <v>0</v>
      </c>
      <c r="AC64" s="39">
        <f t="shared" si="442"/>
        <v>0</v>
      </c>
      <c r="AD64" s="39">
        <f t="shared" si="442"/>
        <v>0</v>
      </c>
      <c r="AE64" s="39">
        <f t="shared" si="442"/>
        <v>0</v>
      </c>
      <c r="AF64" s="39">
        <f t="shared" si="442"/>
        <v>0</v>
      </c>
      <c r="AG64" s="5"/>
      <c r="AH64" s="39">
        <f>SUM(AH65:AH66)</f>
        <v>0</v>
      </c>
      <c r="AI64" s="39">
        <f t="shared" ref="AI64:AS64" si="443">SUM(AI65:AI66)</f>
        <v>0</v>
      </c>
      <c r="AJ64" s="39">
        <f t="shared" si="443"/>
        <v>0</v>
      </c>
      <c r="AK64" s="39">
        <f t="shared" si="443"/>
        <v>0</v>
      </c>
      <c r="AL64" s="39">
        <f t="shared" si="443"/>
        <v>0</v>
      </c>
      <c r="AM64" s="39">
        <f t="shared" si="443"/>
        <v>0</v>
      </c>
      <c r="AN64" s="39">
        <f t="shared" si="443"/>
        <v>0</v>
      </c>
      <c r="AO64" s="39">
        <f t="shared" si="443"/>
        <v>0</v>
      </c>
      <c r="AP64" s="39">
        <f t="shared" si="443"/>
        <v>0</v>
      </c>
      <c r="AQ64" s="39">
        <f t="shared" si="443"/>
        <v>0</v>
      </c>
      <c r="AR64" s="39">
        <f t="shared" si="443"/>
        <v>0</v>
      </c>
      <c r="AS64" s="39">
        <f t="shared" si="443"/>
        <v>0</v>
      </c>
      <c r="AU64" s="39">
        <f>SUM(AU65:AU66)</f>
        <v>0</v>
      </c>
      <c r="AV64" s="39">
        <f t="shared" ref="AV64:BF64" si="444">SUM(AV65:AV66)</f>
        <v>0</v>
      </c>
      <c r="AW64" s="39">
        <f t="shared" si="444"/>
        <v>0</v>
      </c>
      <c r="AX64" s="39">
        <f t="shared" si="444"/>
        <v>0</v>
      </c>
      <c r="AY64" s="39">
        <f t="shared" si="444"/>
        <v>0</v>
      </c>
      <c r="AZ64" s="39">
        <f t="shared" si="444"/>
        <v>0</v>
      </c>
      <c r="BA64" s="39">
        <f t="shared" si="444"/>
        <v>0</v>
      </c>
      <c r="BB64" s="39">
        <f t="shared" si="444"/>
        <v>0</v>
      </c>
      <c r="BC64" s="39">
        <f t="shared" si="444"/>
        <v>0</v>
      </c>
      <c r="BD64" s="39">
        <f t="shared" si="444"/>
        <v>0</v>
      </c>
      <c r="BE64" s="39">
        <f t="shared" si="444"/>
        <v>0</v>
      </c>
      <c r="BF64" s="39">
        <f t="shared" si="444"/>
        <v>0</v>
      </c>
      <c r="BH64" s="39">
        <f>SUM(BH65:BH66)</f>
        <v>0</v>
      </c>
      <c r="BI64" s="39">
        <f t="shared" ref="BI64:BS64" si="445">SUM(BI65:BI66)</f>
        <v>0</v>
      </c>
      <c r="BJ64" s="39">
        <f t="shared" si="445"/>
        <v>0</v>
      </c>
      <c r="BK64" s="39">
        <f t="shared" si="445"/>
        <v>0</v>
      </c>
      <c r="BL64" s="39">
        <f t="shared" si="445"/>
        <v>0</v>
      </c>
      <c r="BM64" s="39">
        <f t="shared" si="445"/>
        <v>0</v>
      </c>
      <c r="BN64" s="39">
        <f t="shared" si="445"/>
        <v>0</v>
      </c>
      <c r="BO64" s="39">
        <f t="shared" si="445"/>
        <v>0</v>
      </c>
      <c r="BP64" s="39">
        <f t="shared" si="445"/>
        <v>0</v>
      </c>
      <c r="BQ64" s="39">
        <f t="shared" si="445"/>
        <v>0</v>
      </c>
      <c r="BR64" s="39">
        <f t="shared" si="445"/>
        <v>0</v>
      </c>
      <c r="BS64" s="39">
        <f t="shared" si="445"/>
        <v>0</v>
      </c>
      <c r="BU64" s="39">
        <f>SUM(BU65:BU66)</f>
        <v>0</v>
      </c>
      <c r="BV64" s="39">
        <f t="shared" ref="BV64:CF64" si="446">SUM(BV65:BV66)</f>
        <v>0</v>
      </c>
      <c r="BW64" s="39">
        <f t="shared" si="446"/>
        <v>0</v>
      </c>
      <c r="BX64" s="39">
        <f t="shared" si="446"/>
        <v>0</v>
      </c>
      <c r="BY64" s="39">
        <f t="shared" si="446"/>
        <v>0</v>
      </c>
      <c r="BZ64" s="39">
        <f t="shared" si="446"/>
        <v>0</v>
      </c>
      <c r="CA64" s="39">
        <f t="shared" si="446"/>
        <v>0</v>
      </c>
      <c r="CB64" s="39">
        <f t="shared" si="446"/>
        <v>0</v>
      </c>
      <c r="CC64" s="39">
        <f t="shared" si="446"/>
        <v>0</v>
      </c>
      <c r="CD64" s="39">
        <f t="shared" si="446"/>
        <v>0</v>
      </c>
      <c r="CE64" s="39">
        <f t="shared" si="446"/>
        <v>0</v>
      </c>
      <c r="CF64" s="39">
        <f t="shared" si="446"/>
        <v>0</v>
      </c>
      <c r="CH64" s="313">
        <f>SUM(CH65:CH66)</f>
        <v>0</v>
      </c>
      <c r="CI64" s="313">
        <f t="shared" ref="CI64:CS64" si="447">SUM(CI65:CI66)</f>
        <v>0</v>
      </c>
      <c r="CJ64" s="313">
        <f t="shared" si="447"/>
        <v>0</v>
      </c>
      <c r="CK64" s="313">
        <f t="shared" si="447"/>
        <v>0</v>
      </c>
      <c r="CL64" s="313">
        <f t="shared" si="447"/>
        <v>0</v>
      </c>
      <c r="CM64" s="313">
        <f t="shared" si="447"/>
        <v>0</v>
      </c>
      <c r="CN64" s="313">
        <f t="shared" si="447"/>
        <v>0</v>
      </c>
      <c r="CO64" s="313">
        <f t="shared" si="447"/>
        <v>0</v>
      </c>
      <c r="CP64" s="313">
        <f t="shared" si="447"/>
        <v>0</v>
      </c>
      <c r="CQ64" s="313">
        <f t="shared" si="447"/>
        <v>0</v>
      </c>
      <c r="CR64" s="313">
        <f t="shared" si="447"/>
        <v>0</v>
      </c>
      <c r="CS64" s="313">
        <f t="shared" si="447"/>
        <v>0</v>
      </c>
      <c r="CU64" s="313">
        <f>SUM(CU65:CU66)</f>
        <v>0</v>
      </c>
      <c r="CV64" s="313">
        <f t="shared" ref="CV64:DF64" si="448">SUM(CV65:CV66)</f>
        <v>0</v>
      </c>
      <c r="CW64" s="313">
        <f t="shared" si="448"/>
        <v>0</v>
      </c>
      <c r="CX64" s="313">
        <f t="shared" si="448"/>
        <v>0</v>
      </c>
      <c r="CY64" s="313">
        <f t="shared" si="448"/>
        <v>0</v>
      </c>
      <c r="CZ64" s="313">
        <f t="shared" si="448"/>
        <v>0</v>
      </c>
      <c r="DA64" s="313">
        <f t="shared" si="448"/>
        <v>0</v>
      </c>
      <c r="DB64" s="313">
        <f t="shared" si="448"/>
        <v>0</v>
      </c>
      <c r="DC64" s="313">
        <f t="shared" si="448"/>
        <v>0</v>
      </c>
      <c r="DD64" s="313">
        <f t="shared" si="448"/>
        <v>0</v>
      </c>
      <c r="DE64" s="313">
        <f t="shared" si="448"/>
        <v>0</v>
      </c>
      <c r="DF64" s="313">
        <f t="shared" si="448"/>
        <v>0</v>
      </c>
    </row>
    <row r="65" spans="1:110" ht="15" thickBot="1">
      <c r="A65" s="19" t="s">
        <v>94</v>
      </c>
      <c r="B65" s="5" t="s">
        <v>95</v>
      </c>
      <c r="D65" s="5"/>
      <c r="E65" s="5"/>
      <c r="F65" s="5"/>
      <c r="G65" s="5"/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5"/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5"/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U65" s="26">
        <v>0</v>
      </c>
      <c r="BV65" s="26">
        <v>0</v>
      </c>
      <c r="BW65" s="26">
        <v>0</v>
      </c>
      <c r="BX65" s="26">
        <v>0</v>
      </c>
      <c r="BY65" s="26">
        <v>0</v>
      </c>
      <c r="BZ65" s="26">
        <v>0</v>
      </c>
      <c r="CA65" s="26">
        <v>0</v>
      </c>
      <c r="CB65" s="26">
        <v>0</v>
      </c>
      <c r="CC65" s="26">
        <v>0</v>
      </c>
      <c r="CD65" s="26">
        <v>0</v>
      </c>
      <c r="CE65" s="26">
        <v>0</v>
      </c>
      <c r="CF65" s="26">
        <v>0</v>
      </c>
      <c r="CH65" s="313">
        <v>0</v>
      </c>
      <c r="CI65" s="313">
        <v>0</v>
      </c>
      <c r="CJ65" s="313">
        <v>0</v>
      </c>
      <c r="CK65" s="313">
        <v>0</v>
      </c>
      <c r="CL65" s="313">
        <v>0</v>
      </c>
      <c r="CM65" s="313">
        <v>0</v>
      </c>
      <c r="CN65" s="313">
        <v>0</v>
      </c>
      <c r="CO65" s="313">
        <v>0</v>
      </c>
      <c r="CP65" s="313">
        <v>0</v>
      </c>
      <c r="CQ65" s="313">
        <v>0</v>
      </c>
      <c r="CR65" s="313">
        <v>0</v>
      </c>
      <c r="CS65" s="313">
        <v>0</v>
      </c>
      <c r="CU65" s="313">
        <v>0</v>
      </c>
      <c r="CV65" s="313">
        <v>0</v>
      </c>
      <c r="CW65" s="313">
        <v>0</v>
      </c>
      <c r="CX65" s="313">
        <v>0</v>
      </c>
      <c r="CY65" s="313">
        <v>0</v>
      </c>
      <c r="CZ65" s="313">
        <v>0</v>
      </c>
      <c r="DA65" s="313">
        <v>0</v>
      </c>
      <c r="DB65" s="313">
        <v>0</v>
      </c>
      <c r="DC65" s="313">
        <v>0</v>
      </c>
      <c r="DD65" s="313">
        <v>0</v>
      </c>
      <c r="DE65" s="313">
        <v>0</v>
      </c>
      <c r="DF65" s="313">
        <v>0</v>
      </c>
    </row>
    <row r="66" spans="1:110" ht="15" thickBot="1">
      <c r="A66" s="19" t="s">
        <v>96</v>
      </c>
      <c r="B66" s="5" t="s">
        <v>97</v>
      </c>
      <c r="D66" s="5"/>
      <c r="E66" s="5"/>
      <c r="F66" s="5"/>
      <c r="G66" s="5"/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5"/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5"/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U66" s="26">
        <v>0</v>
      </c>
      <c r="BV66" s="26">
        <v>0</v>
      </c>
      <c r="BW66" s="26">
        <v>0</v>
      </c>
      <c r="BX66" s="26">
        <v>0</v>
      </c>
      <c r="BY66" s="26">
        <v>0</v>
      </c>
      <c r="BZ66" s="26">
        <v>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  <c r="CH66" s="313">
        <v>0</v>
      </c>
      <c r="CI66" s="313">
        <v>0</v>
      </c>
      <c r="CJ66" s="313">
        <v>0</v>
      </c>
      <c r="CK66" s="313">
        <v>0</v>
      </c>
      <c r="CL66" s="313">
        <v>0</v>
      </c>
      <c r="CM66" s="313">
        <v>0</v>
      </c>
      <c r="CN66" s="313">
        <v>0</v>
      </c>
      <c r="CO66" s="313">
        <v>0</v>
      </c>
      <c r="CP66" s="313">
        <v>0</v>
      </c>
      <c r="CQ66" s="313">
        <v>0</v>
      </c>
      <c r="CR66" s="313">
        <v>0</v>
      </c>
      <c r="CS66" s="313">
        <v>0</v>
      </c>
      <c r="CU66" s="313">
        <v>0</v>
      </c>
      <c r="CV66" s="313">
        <v>0</v>
      </c>
      <c r="CW66" s="313">
        <v>0</v>
      </c>
      <c r="CX66" s="313">
        <v>0</v>
      </c>
      <c r="CY66" s="313">
        <v>0</v>
      </c>
      <c r="CZ66" s="313">
        <v>0</v>
      </c>
      <c r="DA66" s="313">
        <v>0</v>
      </c>
      <c r="DB66" s="313">
        <v>0</v>
      </c>
      <c r="DC66" s="313">
        <v>0</v>
      </c>
      <c r="DD66" s="313">
        <v>0</v>
      </c>
      <c r="DE66" s="313">
        <v>0</v>
      </c>
      <c r="DF66" s="313">
        <v>0</v>
      </c>
    </row>
    <row r="67" spans="1:110" ht="15.75" thickBot="1">
      <c r="A67" s="16" t="s">
        <v>98</v>
      </c>
      <c r="B67" s="10" t="s">
        <v>102</v>
      </c>
      <c r="D67" s="10"/>
      <c r="E67" s="10"/>
      <c r="F67" s="10"/>
      <c r="G67" s="10"/>
      <c r="H67" s="39">
        <f>SUM(H68:H69)</f>
        <v>0</v>
      </c>
      <c r="I67" s="39">
        <f t="shared" ref="I67:S67" si="449">SUM(I68:I69)</f>
        <v>0</v>
      </c>
      <c r="J67" s="39">
        <f t="shared" si="449"/>
        <v>0</v>
      </c>
      <c r="K67" s="39">
        <f t="shared" si="449"/>
        <v>0</v>
      </c>
      <c r="L67" s="39">
        <f t="shared" si="449"/>
        <v>0</v>
      </c>
      <c r="M67" s="39">
        <f t="shared" si="449"/>
        <v>0</v>
      </c>
      <c r="N67" s="39">
        <f t="shared" si="449"/>
        <v>0</v>
      </c>
      <c r="O67" s="39">
        <f t="shared" si="449"/>
        <v>0</v>
      </c>
      <c r="P67" s="39">
        <f t="shared" si="449"/>
        <v>0</v>
      </c>
      <c r="Q67" s="39">
        <f t="shared" si="449"/>
        <v>0</v>
      </c>
      <c r="R67" s="39">
        <f t="shared" si="449"/>
        <v>0</v>
      </c>
      <c r="S67" s="39">
        <f t="shared" si="449"/>
        <v>0</v>
      </c>
      <c r="T67" s="5"/>
      <c r="U67" s="39">
        <f>SUM(U68:U69)</f>
        <v>0</v>
      </c>
      <c r="V67" s="39">
        <f t="shared" ref="V67:AF67" si="450">SUM(V68:V69)</f>
        <v>0</v>
      </c>
      <c r="W67" s="39">
        <f t="shared" si="450"/>
        <v>0</v>
      </c>
      <c r="X67" s="39">
        <f t="shared" si="450"/>
        <v>0</v>
      </c>
      <c r="Y67" s="39">
        <f t="shared" si="450"/>
        <v>0</v>
      </c>
      <c r="Z67" s="39">
        <f t="shared" si="450"/>
        <v>0</v>
      </c>
      <c r="AA67" s="39">
        <f t="shared" si="450"/>
        <v>0</v>
      </c>
      <c r="AB67" s="39">
        <f t="shared" si="450"/>
        <v>0</v>
      </c>
      <c r="AC67" s="39">
        <f t="shared" si="450"/>
        <v>0</v>
      </c>
      <c r="AD67" s="39">
        <f t="shared" si="450"/>
        <v>0</v>
      </c>
      <c r="AE67" s="39">
        <f t="shared" si="450"/>
        <v>0</v>
      </c>
      <c r="AF67" s="39">
        <f t="shared" si="450"/>
        <v>0</v>
      </c>
      <c r="AG67" s="5"/>
      <c r="AH67" s="39">
        <f>SUM(AH68:AH69)</f>
        <v>0</v>
      </c>
      <c r="AI67" s="39">
        <f t="shared" ref="AI67:AS67" si="451">SUM(AI68:AI69)</f>
        <v>0</v>
      </c>
      <c r="AJ67" s="39">
        <f t="shared" si="451"/>
        <v>0</v>
      </c>
      <c r="AK67" s="39">
        <f t="shared" si="451"/>
        <v>0</v>
      </c>
      <c r="AL67" s="39">
        <f t="shared" si="451"/>
        <v>0</v>
      </c>
      <c r="AM67" s="39">
        <f t="shared" si="451"/>
        <v>0</v>
      </c>
      <c r="AN67" s="39">
        <f t="shared" si="451"/>
        <v>0</v>
      </c>
      <c r="AO67" s="39">
        <f t="shared" si="451"/>
        <v>0</v>
      </c>
      <c r="AP67" s="39">
        <f t="shared" si="451"/>
        <v>0</v>
      </c>
      <c r="AQ67" s="39">
        <f t="shared" si="451"/>
        <v>0</v>
      </c>
      <c r="AR67" s="39">
        <f t="shared" si="451"/>
        <v>0</v>
      </c>
      <c r="AS67" s="39">
        <f t="shared" si="451"/>
        <v>0</v>
      </c>
      <c r="AU67" s="39">
        <f>SUM(AU68:AU69)</f>
        <v>0</v>
      </c>
      <c r="AV67" s="39">
        <f t="shared" ref="AV67:BF67" si="452">SUM(AV68:AV69)</f>
        <v>0</v>
      </c>
      <c r="AW67" s="39">
        <f t="shared" si="452"/>
        <v>0</v>
      </c>
      <c r="AX67" s="39">
        <f t="shared" si="452"/>
        <v>0</v>
      </c>
      <c r="AY67" s="39">
        <f t="shared" si="452"/>
        <v>0</v>
      </c>
      <c r="AZ67" s="39">
        <f t="shared" si="452"/>
        <v>0</v>
      </c>
      <c r="BA67" s="39">
        <f t="shared" si="452"/>
        <v>0</v>
      </c>
      <c r="BB67" s="39">
        <f t="shared" si="452"/>
        <v>0</v>
      </c>
      <c r="BC67" s="39">
        <f t="shared" si="452"/>
        <v>0</v>
      </c>
      <c r="BD67" s="39">
        <f t="shared" si="452"/>
        <v>0</v>
      </c>
      <c r="BE67" s="39">
        <f t="shared" si="452"/>
        <v>0</v>
      </c>
      <c r="BF67" s="39">
        <f t="shared" si="452"/>
        <v>0</v>
      </c>
      <c r="BH67" s="39">
        <f>SUM(BH68:BH69)</f>
        <v>0</v>
      </c>
      <c r="BI67" s="39">
        <f t="shared" ref="BI67:BS67" si="453">SUM(BI68:BI69)</f>
        <v>0</v>
      </c>
      <c r="BJ67" s="39">
        <f t="shared" si="453"/>
        <v>0</v>
      </c>
      <c r="BK67" s="39">
        <f t="shared" si="453"/>
        <v>0</v>
      </c>
      <c r="BL67" s="39">
        <f t="shared" si="453"/>
        <v>0</v>
      </c>
      <c r="BM67" s="39">
        <f t="shared" si="453"/>
        <v>0</v>
      </c>
      <c r="BN67" s="39">
        <f t="shared" si="453"/>
        <v>0</v>
      </c>
      <c r="BO67" s="39">
        <f t="shared" si="453"/>
        <v>0</v>
      </c>
      <c r="BP67" s="39">
        <f t="shared" si="453"/>
        <v>0</v>
      </c>
      <c r="BQ67" s="39">
        <f t="shared" si="453"/>
        <v>0</v>
      </c>
      <c r="BR67" s="39">
        <f t="shared" si="453"/>
        <v>0</v>
      </c>
      <c r="BS67" s="39">
        <f t="shared" si="453"/>
        <v>0</v>
      </c>
      <c r="BU67" s="39">
        <f>SUM(BU68:BU69)</f>
        <v>0</v>
      </c>
      <c r="BV67" s="39">
        <f t="shared" ref="BV67:CF67" si="454">SUM(BV68:BV69)</f>
        <v>0</v>
      </c>
      <c r="BW67" s="39">
        <f t="shared" si="454"/>
        <v>0</v>
      </c>
      <c r="BX67" s="39">
        <f t="shared" si="454"/>
        <v>0</v>
      </c>
      <c r="BY67" s="39">
        <f t="shared" si="454"/>
        <v>0</v>
      </c>
      <c r="BZ67" s="39">
        <f t="shared" si="454"/>
        <v>0</v>
      </c>
      <c r="CA67" s="39">
        <f t="shared" si="454"/>
        <v>0</v>
      </c>
      <c r="CB67" s="39">
        <f t="shared" si="454"/>
        <v>0</v>
      </c>
      <c r="CC67" s="39">
        <f t="shared" si="454"/>
        <v>0</v>
      </c>
      <c r="CD67" s="39">
        <f t="shared" si="454"/>
        <v>0</v>
      </c>
      <c r="CE67" s="39">
        <f t="shared" si="454"/>
        <v>0</v>
      </c>
      <c r="CF67" s="39">
        <f t="shared" si="454"/>
        <v>0</v>
      </c>
      <c r="CH67" s="313">
        <f>SUM(CH68:CH69)</f>
        <v>0</v>
      </c>
      <c r="CI67" s="313">
        <f t="shared" ref="CI67:CS67" si="455">SUM(CI68:CI69)</f>
        <v>0</v>
      </c>
      <c r="CJ67" s="313">
        <f t="shared" si="455"/>
        <v>0</v>
      </c>
      <c r="CK67" s="313">
        <f t="shared" si="455"/>
        <v>0</v>
      </c>
      <c r="CL67" s="313">
        <f t="shared" si="455"/>
        <v>0</v>
      </c>
      <c r="CM67" s="313">
        <f t="shared" si="455"/>
        <v>0</v>
      </c>
      <c r="CN67" s="313">
        <f t="shared" si="455"/>
        <v>0</v>
      </c>
      <c r="CO67" s="313">
        <f t="shared" si="455"/>
        <v>0</v>
      </c>
      <c r="CP67" s="313">
        <f t="shared" si="455"/>
        <v>0</v>
      </c>
      <c r="CQ67" s="313">
        <f t="shared" si="455"/>
        <v>0</v>
      </c>
      <c r="CR67" s="313">
        <f t="shared" si="455"/>
        <v>0</v>
      </c>
      <c r="CS67" s="313">
        <f t="shared" si="455"/>
        <v>0</v>
      </c>
      <c r="CU67" s="313">
        <f>SUM(CU68:CU69)</f>
        <v>0</v>
      </c>
      <c r="CV67" s="313">
        <f t="shared" ref="CV67:DF67" si="456">SUM(CV68:CV69)</f>
        <v>0</v>
      </c>
      <c r="CW67" s="313">
        <f t="shared" si="456"/>
        <v>0</v>
      </c>
      <c r="CX67" s="313">
        <f t="shared" si="456"/>
        <v>0</v>
      </c>
      <c r="CY67" s="313">
        <f t="shared" si="456"/>
        <v>0</v>
      </c>
      <c r="CZ67" s="313">
        <f t="shared" si="456"/>
        <v>0</v>
      </c>
      <c r="DA67" s="313">
        <f t="shared" si="456"/>
        <v>0</v>
      </c>
      <c r="DB67" s="313">
        <f t="shared" si="456"/>
        <v>0</v>
      </c>
      <c r="DC67" s="313">
        <f t="shared" si="456"/>
        <v>0</v>
      </c>
      <c r="DD67" s="313">
        <f t="shared" si="456"/>
        <v>0</v>
      </c>
      <c r="DE67" s="313">
        <f t="shared" si="456"/>
        <v>0</v>
      </c>
      <c r="DF67" s="313">
        <f t="shared" si="456"/>
        <v>0</v>
      </c>
    </row>
    <row r="68" spans="1:110" ht="15" thickBot="1">
      <c r="A68" s="19" t="s">
        <v>100</v>
      </c>
      <c r="B68" s="5" t="s">
        <v>103</v>
      </c>
      <c r="D68" s="5"/>
      <c r="E68" s="5"/>
      <c r="F68" s="5"/>
      <c r="G68" s="5"/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5"/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5"/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  <c r="CH68" s="313">
        <v>0</v>
      </c>
      <c r="CI68" s="313">
        <v>0</v>
      </c>
      <c r="CJ68" s="313">
        <v>0</v>
      </c>
      <c r="CK68" s="313">
        <v>0</v>
      </c>
      <c r="CL68" s="313">
        <v>0</v>
      </c>
      <c r="CM68" s="313">
        <v>0</v>
      </c>
      <c r="CN68" s="313">
        <v>0</v>
      </c>
      <c r="CO68" s="313">
        <v>0</v>
      </c>
      <c r="CP68" s="313">
        <v>0</v>
      </c>
      <c r="CQ68" s="313">
        <v>0</v>
      </c>
      <c r="CR68" s="313">
        <v>0</v>
      </c>
      <c r="CS68" s="313">
        <v>0</v>
      </c>
      <c r="CU68" s="313">
        <v>0</v>
      </c>
      <c r="CV68" s="313">
        <v>0</v>
      </c>
      <c r="CW68" s="313">
        <v>0</v>
      </c>
      <c r="CX68" s="313">
        <v>0</v>
      </c>
      <c r="CY68" s="313">
        <v>0</v>
      </c>
      <c r="CZ68" s="313">
        <v>0</v>
      </c>
      <c r="DA68" s="313">
        <v>0</v>
      </c>
      <c r="DB68" s="313">
        <v>0</v>
      </c>
      <c r="DC68" s="313">
        <v>0</v>
      </c>
      <c r="DD68" s="313">
        <v>0</v>
      </c>
      <c r="DE68" s="313">
        <v>0</v>
      </c>
      <c r="DF68" s="313">
        <v>0</v>
      </c>
    </row>
    <row r="69" spans="1:110" ht="15" thickBot="1">
      <c r="A69" s="19" t="s">
        <v>154</v>
      </c>
      <c r="B69" s="5" t="s">
        <v>104</v>
      </c>
      <c r="D69" s="5"/>
      <c r="E69" s="5"/>
      <c r="F69" s="5"/>
      <c r="G69" s="5"/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5"/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5"/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0</v>
      </c>
      <c r="AS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0</v>
      </c>
      <c r="BR69" s="26">
        <v>0</v>
      </c>
      <c r="BS69" s="26">
        <v>0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  <c r="CH69" s="313">
        <v>0</v>
      </c>
      <c r="CI69" s="313">
        <v>0</v>
      </c>
      <c r="CJ69" s="313">
        <v>0</v>
      </c>
      <c r="CK69" s="313">
        <v>0</v>
      </c>
      <c r="CL69" s="313">
        <v>0</v>
      </c>
      <c r="CM69" s="313">
        <v>0</v>
      </c>
      <c r="CN69" s="313">
        <v>0</v>
      </c>
      <c r="CO69" s="313">
        <v>0</v>
      </c>
      <c r="CP69" s="313">
        <v>0</v>
      </c>
      <c r="CQ69" s="313">
        <v>0</v>
      </c>
      <c r="CR69" s="313">
        <v>0</v>
      </c>
      <c r="CS69" s="313">
        <v>0</v>
      </c>
      <c r="CU69" s="313">
        <v>0</v>
      </c>
      <c r="CV69" s="313">
        <v>0</v>
      </c>
      <c r="CW69" s="313">
        <v>0</v>
      </c>
      <c r="CX69" s="313">
        <v>0</v>
      </c>
      <c r="CY69" s="313">
        <v>0</v>
      </c>
      <c r="CZ69" s="313">
        <v>0</v>
      </c>
      <c r="DA69" s="313">
        <v>0</v>
      </c>
      <c r="DB69" s="313">
        <v>0</v>
      </c>
      <c r="DC69" s="313">
        <v>0</v>
      </c>
      <c r="DD69" s="313">
        <v>0</v>
      </c>
      <c r="DE69" s="313">
        <v>0</v>
      </c>
      <c r="DF69" s="313">
        <v>0</v>
      </c>
    </row>
    <row r="70" spans="1:110" ht="15.75" thickBot="1">
      <c r="A70" s="16" t="s">
        <v>101</v>
      </c>
      <c r="B70" s="10" t="s">
        <v>105</v>
      </c>
      <c r="D70" s="10"/>
      <c r="E70" s="10"/>
      <c r="F70" s="10"/>
      <c r="G70" s="10"/>
      <c r="H70" s="39">
        <f>SUM(H71:H76)</f>
        <v>0</v>
      </c>
      <c r="I70" s="39">
        <f t="shared" ref="I70:S70" si="457">SUM(I71:I76)</f>
        <v>0</v>
      </c>
      <c r="J70" s="39">
        <f t="shared" si="457"/>
        <v>0</v>
      </c>
      <c r="K70" s="39">
        <f t="shared" si="457"/>
        <v>0</v>
      </c>
      <c r="L70" s="39">
        <f t="shared" si="457"/>
        <v>0</v>
      </c>
      <c r="M70" s="39">
        <f t="shared" si="457"/>
        <v>0</v>
      </c>
      <c r="N70" s="39">
        <f t="shared" si="457"/>
        <v>0</v>
      </c>
      <c r="O70" s="39">
        <f t="shared" si="457"/>
        <v>0</v>
      </c>
      <c r="P70" s="39">
        <f t="shared" si="457"/>
        <v>0</v>
      </c>
      <c r="Q70" s="39">
        <f t="shared" si="457"/>
        <v>0</v>
      </c>
      <c r="R70" s="39">
        <f t="shared" si="457"/>
        <v>0</v>
      </c>
      <c r="S70" s="39">
        <f t="shared" si="457"/>
        <v>0</v>
      </c>
      <c r="T70" s="5"/>
      <c r="U70" s="39">
        <f>SUM(U71:U76)</f>
        <v>0</v>
      </c>
      <c r="V70" s="39">
        <f t="shared" ref="V70:AF70" si="458">SUM(V71:V76)</f>
        <v>0</v>
      </c>
      <c r="W70" s="39">
        <f t="shared" si="458"/>
        <v>0</v>
      </c>
      <c r="X70" s="39">
        <f t="shared" si="458"/>
        <v>0</v>
      </c>
      <c r="Y70" s="39">
        <f t="shared" si="458"/>
        <v>0</v>
      </c>
      <c r="Z70" s="39">
        <f t="shared" si="458"/>
        <v>0</v>
      </c>
      <c r="AA70" s="39">
        <f t="shared" si="458"/>
        <v>0</v>
      </c>
      <c r="AB70" s="39">
        <f t="shared" si="458"/>
        <v>0</v>
      </c>
      <c r="AC70" s="39">
        <f t="shared" si="458"/>
        <v>0</v>
      </c>
      <c r="AD70" s="39">
        <f t="shared" si="458"/>
        <v>0</v>
      </c>
      <c r="AE70" s="39">
        <f t="shared" si="458"/>
        <v>0</v>
      </c>
      <c r="AF70" s="39">
        <f t="shared" si="458"/>
        <v>0</v>
      </c>
      <c r="AG70" s="5"/>
      <c r="AH70" s="39">
        <f>SUM(AH71:AH76)</f>
        <v>0</v>
      </c>
      <c r="AI70" s="39">
        <f t="shared" ref="AI70:AS70" si="459">SUM(AI71:AI76)</f>
        <v>0</v>
      </c>
      <c r="AJ70" s="39">
        <f t="shared" si="459"/>
        <v>0</v>
      </c>
      <c r="AK70" s="39">
        <f t="shared" si="459"/>
        <v>0</v>
      </c>
      <c r="AL70" s="39">
        <f t="shared" si="459"/>
        <v>0</v>
      </c>
      <c r="AM70" s="39">
        <f t="shared" si="459"/>
        <v>0</v>
      </c>
      <c r="AN70" s="39">
        <f t="shared" si="459"/>
        <v>0</v>
      </c>
      <c r="AO70" s="39">
        <f t="shared" si="459"/>
        <v>0</v>
      </c>
      <c r="AP70" s="39">
        <f t="shared" si="459"/>
        <v>0</v>
      </c>
      <c r="AQ70" s="39">
        <f t="shared" si="459"/>
        <v>0</v>
      </c>
      <c r="AR70" s="39">
        <f t="shared" si="459"/>
        <v>0</v>
      </c>
      <c r="AS70" s="39">
        <f t="shared" si="459"/>
        <v>0</v>
      </c>
      <c r="AU70" s="39">
        <f>SUM(AU71:AU76)</f>
        <v>0</v>
      </c>
      <c r="AV70" s="39">
        <f t="shared" ref="AV70:BF70" si="460">SUM(AV71:AV76)</f>
        <v>0</v>
      </c>
      <c r="AW70" s="39">
        <f t="shared" si="460"/>
        <v>0</v>
      </c>
      <c r="AX70" s="39">
        <f t="shared" si="460"/>
        <v>0</v>
      </c>
      <c r="AY70" s="39">
        <f t="shared" si="460"/>
        <v>0</v>
      </c>
      <c r="AZ70" s="39">
        <f t="shared" si="460"/>
        <v>0</v>
      </c>
      <c r="BA70" s="39">
        <f t="shared" si="460"/>
        <v>0</v>
      </c>
      <c r="BB70" s="39">
        <f t="shared" si="460"/>
        <v>0</v>
      </c>
      <c r="BC70" s="39">
        <f t="shared" si="460"/>
        <v>0</v>
      </c>
      <c r="BD70" s="39">
        <f t="shared" si="460"/>
        <v>0</v>
      </c>
      <c r="BE70" s="39">
        <f t="shared" si="460"/>
        <v>0</v>
      </c>
      <c r="BF70" s="39">
        <f t="shared" si="460"/>
        <v>0</v>
      </c>
      <c r="BH70" s="39">
        <f>SUM(BH71:BH76)</f>
        <v>0</v>
      </c>
      <c r="BI70" s="39">
        <f t="shared" ref="BI70:BS70" si="461">SUM(BI71:BI76)</f>
        <v>0</v>
      </c>
      <c r="BJ70" s="39">
        <f t="shared" si="461"/>
        <v>0</v>
      </c>
      <c r="BK70" s="39">
        <f t="shared" si="461"/>
        <v>0</v>
      </c>
      <c r="BL70" s="39">
        <f t="shared" si="461"/>
        <v>0</v>
      </c>
      <c r="BM70" s="39">
        <f t="shared" si="461"/>
        <v>0</v>
      </c>
      <c r="BN70" s="39">
        <f t="shared" si="461"/>
        <v>0</v>
      </c>
      <c r="BO70" s="39">
        <f t="shared" si="461"/>
        <v>0</v>
      </c>
      <c r="BP70" s="39">
        <f t="shared" si="461"/>
        <v>0</v>
      </c>
      <c r="BQ70" s="39">
        <f t="shared" si="461"/>
        <v>0</v>
      </c>
      <c r="BR70" s="39">
        <f t="shared" si="461"/>
        <v>0</v>
      </c>
      <c r="BS70" s="39">
        <f t="shared" si="461"/>
        <v>0</v>
      </c>
      <c r="BU70" s="39">
        <f>SUM(BU71:BU76)</f>
        <v>0</v>
      </c>
      <c r="BV70" s="39">
        <f t="shared" ref="BV70:CF70" si="462">SUM(BV71:BV76)</f>
        <v>0</v>
      </c>
      <c r="BW70" s="39">
        <f t="shared" si="462"/>
        <v>0</v>
      </c>
      <c r="BX70" s="39">
        <f t="shared" si="462"/>
        <v>0</v>
      </c>
      <c r="BY70" s="39">
        <f t="shared" si="462"/>
        <v>0</v>
      </c>
      <c r="BZ70" s="39">
        <f t="shared" si="462"/>
        <v>0</v>
      </c>
      <c r="CA70" s="39">
        <f t="shared" si="462"/>
        <v>0</v>
      </c>
      <c r="CB70" s="39">
        <f t="shared" si="462"/>
        <v>0</v>
      </c>
      <c r="CC70" s="39">
        <f t="shared" si="462"/>
        <v>0</v>
      </c>
      <c r="CD70" s="39">
        <f t="shared" si="462"/>
        <v>0</v>
      </c>
      <c r="CE70" s="39">
        <f t="shared" si="462"/>
        <v>0</v>
      </c>
      <c r="CF70" s="39">
        <f t="shared" si="462"/>
        <v>0</v>
      </c>
      <c r="CH70" s="313">
        <f>SUM(CH71:CH76)</f>
        <v>0</v>
      </c>
      <c r="CI70" s="313">
        <f t="shared" ref="CI70:CS70" si="463">SUM(CI71:CI76)</f>
        <v>0</v>
      </c>
      <c r="CJ70" s="313">
        <f t="shared" si="463"/>
        <v>0</v>
      </c>
      <c r="CK70" s="313">
        <f t="shared" si="463"/>
        <v>0</v>
      </c>
      <c r="CL70" s="313">
        <f t="shared" si="463"/>
        <v>0</v>
      </c>
      <c r="CM70" s="313">
        <f t="shared" si="463"/>
        <v>0</v>
      </c>
      <c r="CN70" s="313">
        <f t="shared" si="463"/>
        <v>0</v>
      </c>
      <c r="CO70" s="313">
        <f t="shared" si="463"/>
        <v>0</v>
      </c>
      <c r="CP70" s="313">
        <f t="shared" si="463"/>
        <v>0</v>
      </c>
      <c r="CQ70" s="313">
        <f t="shared" si="463"/>
        <v>0</v>
      </c>
      <c r="CR70" s="313">
        <f t="shared" si="463"/>
        <v>0</v>
      </c>
      <c r="CS70" s="313">
        <f t="shared" si="463"/>
        <v>0</v>
      </c>
      <c r="CU70" s="313">
        <f>SUM(CU71:CU76)</f>
        <v>0</v>
      </c>
      <c r="CV70" s="313">
        <f t="shared" ref="CV70:DF70" si="464">SUM(CV71:CV76)</f>
        <v>0</v>
      </c>
      <c r="CW70" s="313">
        <f t="shared" si="464"/>
        <v>0</v>
      </c>
      <c r="CX70" s="313">
        <f t="shared" si="464"/>
        <v>0</v>
      </c>
      <c r="CY70" s="313">
        <f t="shared" si="464"/>
        <v>0</v>
      </c>
      <c r="CZ70" s="313">
        <f t="shared" si="464"/>
        <v>0</v>
      </c>
      <c r="DA70" s="313">
        <f t="shared" si="464"/>
        <v>0</v>
      </c>
      <c r="DB70" s="313">
        <f t="shared" si="464"/>
        <v>0</v>
      </c>
      <c r="DC70" s="313">
        <f t="shared" si="464"/>
        <v>0</v>
      </c>
      <c r="DD70" s="313">
        <f t="shared" si="464"/>
        <v>0</v>
      </c>
      <c r="DE70" s="313">
        <f t="shared" si="464"/>
        <v>0</v>
      </c>
      <c r="DF70" s="313">
        <f t="shared" si="464"/>
        <v>0</v>
      </c>
    </row>
    <row r="71" spans="1:110" ht="15" thickBot="1">
      <c r="A71" s="19" t="s">
        <v>106</v>
      </c>
      <c r="B71" s="5" t="s">
        <v>107</v>
      </c>
      <c r="D71" s="5"/>
      <c r="E71" s="5"/>
      <c r="F71" s="5"/>
      <c r="G71" s="5"/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5"/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5"/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26">
        <v>0</v>
      </c>
      <c r="AO71" s="26">
        <v>0</v>
      </c>
      <c r="AP71" s="26">
        <v>0</v>
      </c>
      <c r="AQ71" s="26">
        <v>0</v>
      </c>
      <c r="AR71" s="26">
        <v>0</v>
      </c>
      <c r="AS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0</v>
      </c>
      <c r="CB71" s="26">
        <v>0</v>
      </c>
      <c r="CC71" s="26">
        <v>0</v>
      </c>
      <c r="CD71" s="26">
        <v>0</v>
      </c>
      <c r="CE71" s="26">
        <v>0</v>
      </c>
      <c r="CF71" s="26">
        <v>0</v>
      </c>
      <c r="CH71" s="313">
        <v>0</v>
      </c>
      <c r="CI71" s="313">
        <v>0</v>
      </c>
      <c r="CJ71" s="313">
        <v>0</v>
      </c>
      <c r="CK71" s="313">
        <v>0</v>
      </c>
      <c r="CL71" s="313">
        <v>0</v>
      </c>
      <c r="CM71" s="313">
        <v>0</v>
      </c>
      <c r="CN71" s="313">
        <v>0</v>
      </c>
      <c r="CO71" s="313">
        <v>0</v>
      </c>
      <c r="CP71" s="313">
        <v>0</v>
      </c>
      <c r="CQ71" s="313">
        <v>0</v>
      </c>
      <c r="CR71" s="313">
        <v>0</v>
      </c>
      <c r="CS71" s="313">
        <v>0</v>
      </c>
      <c r="CU71" s="313">
        <v>0</v>
      </c>
      <c r="CV71" s="313">
        <v>0</v>
      </c>
      <c r="CW71" s="313">
        <v>0</v>
      </c>
      <c r="CX71" s="313">
        <v>0</v>
      </c>
      <c r="CY71" s="313">
        <v>0</v>
      </c>
      <c r="CZ71" s="313">
        <v>0</v>
      </c>
      <c r="DA71" s="313">
        <v>0</v>
      </c>
      <c r="DB71" s="313">
        <v>0</v>
      </c>
      <c r="DC71" s="313">
        <v>0</v>
      </c>
      <c r="DD71" s="313">
        <v>0</v>
      </c>
      <c r="DE71" s="313">
        <v>0</v>
      </c>
      <c r="DF71" s="313">
        <v>0</v>
      </c>
    </row>
    <row r="72" spans="1:110" ht="15" thickBot="1">
      <c r="A72" s="19" t="s">
        <v>108</v>
      </c>
      <c r="B72" s="5" t="s">
        <v>109</v>
      </c>
      <c r="D72" s="5"/>
      <c r="E72" s="5"/>
      <c r="F72" s="5"/>
      <c r="G72" s="5"/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5"/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5"/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U72" s="26">
        <v>0</v>
      </c>
      <c r="BV72" s="26">
        <v>0</v>
      </c>
      <c r="BW72" s="26">
        <v>0</v>
      </c>
      <c r="BX72" s="26">
        <v>0</v>
      </c>
      <c r="BY72" s="26">
        <v>0</v>
      </c>
      <c r="BZ72" s="26">
        <v>0</v>
      </c>
      <c r="CA72" s="26">
        <v>0</v>
      </c>
      <c r="CB72" s="26">
        <v>0</v>
      </c>
      <c r="CC72" s="26">
        <v>0</v>
      </c>
      <c r="CD72" s="26">
        <v>0</v>
      </c>
      <c r="CE72" s="26">
        <v>0</v>
      </c>
      <c r="CF72" s="26">
        <v>0</v>
      </c>
      <c r="CH72" s="313">
        <v>0</v>
      </c>
      <c r="CI72" s="313">
        <v>0</v>
      </c>
      <c r="CJ72" s="313">
        <v>0</v>
      </c>
      <c r="CK72" s="313">
        <v>0</v>
      </c>
      <c r="CL72" s="313">
        <v>0</v>
      </c>
      <c r="CM72" s="313">
        <v>0</v>
      </c>
      <c r="CN72" s="313">
        <v>0</v>
      </c>
      <c r="CO72" s="313">
        <v>0</v>
      </c>
      <c r="CP72" s="313">
        <v>0</v>
      </c>
      <c r="CQ72" s="313">
        <v>0</v>
      </c>
      <c r="CR72" s="313">
        <v>0</v>
      </c>
      <c r="CS72" s="313">
        <v>0</v>
      </c>
      <c r="CU72" s="313">
        <v>0</v>
      </c>
      <c r="CV72" s="313">
        <v>0</v>
      </c>
      <c r="CW72" s="313">
        <v>0</v>
      </c>
      <c r="CX72" s="313">
        <v>0</v>
      </c>
      <c r="CY72" s="313">
        <v>0</v>
      </c>
      <c r="CZ72" s="313">
        <v>0</v>
      </c>
      <c r="DA72" s="313">
        <v>0</v>
      </c>
      <c r="DB72" s="313">
        <v>0</v>
      </c>
      <c r="DC72" s="313">
        <v>0</v>
      </c>
      <c r="DD72" s="313">
        <v>0</v>
      </c>
      <c r="DE72" s="313">
        <v>0</v>
      </c>
      <c r="DF72" s="313">
        <v>0</v>
      </c>
    </row>
    <row r="73" spans="1:110" ht="15" thickBot="1">
      <c r="A73" s="19" t="s">
        <v>110</v>
      </c>
      <c r="B73" s="5" t="s">
        <v>111</v>
      </c>
      <c r="D73" s="5"/>
      <c r="E73" s="5"/>
      <c r="F73" s="5"/>
      <c r="G73" s="5"/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5"/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5"/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U73" s="26">
        <v>0</v>
      </c>
      <c r="BV73" s="26">
        <v>0</v>
      </c>
      <c r="BW73" s="26">
        <v>0</v>
      </c>
      <c r="BX73" s="26">
        <v>0</v>
      </c>
      <c r="BY73" s="26">
        <v>0</v>
      </c>
      <c r="BZ73" s="26">
        <v>0</v>
      </c>
      <c r="CA73" s="26">
        <v>0</v>
      </c>
      <c r="CB73" s="26">
        <v>0</v>
      </c>
      <c r="CC73" s="26">
        <v>0</v>
      </c>
      <c r="CD73" s="26">
        <v>0</v>
      </c>
      <c r="CE73" s="26">
        <v>0</v>
      </c>
      <c r="CF73" s="26">
        <v>0</v>
      </c>
      <c r="CH73" s="313">
        <v>0</v>
      </c>
      <c r="CI73" s="313">
        <v>0</v>
      </c>
      <c r="CJ73" s="313">
        <v>0</v>
      </c>
      <c r="CK73" s="313">
        <v>0</v>
      </c>
      <c r="CL73" s="313">
        <v>0</v>
      </c>
      <c r="CM73" s="313">
        <v>0</v>
      </c>
      <c r="CN73" s="313">
        <v>0</v>
      </c>
      <c r="CO73" s="313">
        <v>0</v>
      </c>
      <c r="CP73" s="313">
        <v>0</v>
      </c>
      <c r="CQ73" s="313">
        <v>0</v>
      </c>
      <c r="CR73" s="313">
        <v>0</v>
      </c>
      <c r="CS73" s="313">
        <v>0</v>
      </c>
      <c r="CU73" s="313">
        <v>0</v>
      </c>
      <c r="CV73" s="313">
        <v>0</v>
      </c>
      <c r="CW73" s="313">
        <v>0</v>
      </c>
      <c r="CX73" s="313">
        <v>0</v>
      </c>
      <c r="CY73" s="313">
        <v>0</v>
      </c>
      <c r="CZ73" s="313">
        <v>0</v>
      </c>
      <c r="DA73" s="313">
        <v>0</v>
      </c>
      <c r="DB73" s="313">
        <v>0</v>
      </c>
      <c r="DC73" s="313">
        <v>0</v>
      </c>
      <c r="DD73" s="313">
        <v>0</v>
      </c>
      <c r="DE73" s="313">
        <v>0</v>
      </c>
      <c r="DF73" s="313">
        <v>0</v>
      </c>
    </row>
    <row r="74" spans="1:110" ht="15" thickBot="1">
      <c r="A74" s="19" t="s">
        <v>112</v>
      </c>
      <c r="B74" s="5" t="s">
        <v>113</v>
      </c>
      <c r="D74" s="5"/>
      <c r="E74" s="5"/>
      <c r="F74" s="5"/>
      <c r="G74" s="5"/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5"/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5"/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>
        <v>0</v>
      </c>
      <c r="BR74" s="26">
        <v>0</v>
      </c>
      <c r="BS74" s="26">
        <v>0</v>
      </c>
      <c r="BU74" s="26">
        <v>0</v>
      </c>
      <c r="BV74" s="26">
        <v>0</v>
      </c>
      <c r="BW74" s="26">
        <v>0</v>
      </c>
      <c r="BX74" s="26">
        <v>0</v>
      </c>
      <c r="BY74" s="26">
        <v>0</v>
      </c>
      <c r="BZ74" s="26">
        <v>0</v>
      </c>
      <c r="CA74" s="26">
        <v>0</v>
      </c>
      <c r="CB74" s="26">
        <v>0</v>
      </c>
      <c r="CC74" s="26">
        <v>0</v>
      </c>
      <c r="CD74" s="26">
        <v>0</v>
      </c>
      <c r="CE74" s="26">
        <v>0</v>
      </c>
      <c r="CF74" s="26">
        <v>0</v>
      </c>
      <c r="CH74" s="313">
        <v>0</v>
      </c>
      <c r="CI74" s="313">
        <v>0</v>
      </c>
      <c r="CJ74" s="313">
        <v>0</v>
      </c>
      <c r="CK74" s="313">
        <v>0</v>
      </c>
      <c r="CL74" s="313">
        <v>0</v>
      </c>
      <c r="CM74" s="313">
        <v>0</v>
      </c>
      <c r="CN74" s="313">
        <v>0</v>
      </c>
      <c r="CO74" s="313">
        <v>0</v>
      </c>
      <c r="CP74" s="313">
        <v>0</v>
      </c>
      <c r="CQ74" s="313">
        <v>0</v>
      </c>
      <c r="CR74" s="313">
        <v>0</v>
      </c>
      <c r="CS74" s="313">
        <v>0</v>
      </c>
      <c r="CU74" s="313">
        <v>0</v>
      </c>
      <c r="CV74" s="313">
        <v>0</v>
      </c>
      <c r="CW74" s="313">
        <v>0</v>
      </c>
      <c r="CX74" s="313">
        <v>0</v>
      </c>
      <c r="CY74" s="313">
        <v>0</v>
      </c>
      <c r="CZ74" s="313">
        <v>0</v>
      </c>
      <c r="DA74" s="313">
        <v>0</v>
      </c>
      <c r="DB74" s="313">
        <v>0</v>
      </c>
      <c r="DC74" s="313">
        <v>0</v>
      </c>
      <c r="DD74" s="313">
        <v>0</v>
      </c>
      <c r="DE74" s="313">
        <v>0</v>
      </c>
      <c r="DF74" s="313">
        <v>0</v>
      </c>
    </row>
    <row r="75" spans="1:110" ht="16.5" thickBot="1">
      <c r="A75" s="19">
        <v>2.8</v>
      </c>
      <c r="B75" s="5" t="s">
        <v>5</v>
      </c>
      <c r="D75" s="5"/>
      <c r="E75" s="5"/>
      <c r="F75" s="5"/>
      <c r="G75" s="5"/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8"/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8"/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U75" s="26">
        <v>0</v>
      </c>
      <c r="BV75" s="26">
        <v>0</v>
      </c>
      <c r="BW75" s="26">
        <v>0</v>
      </c>
      <c r="BX75" s="26">
        <v>0</v>
      </c>
      <c r="BY75" s="26">
        <v>0</v>
      </c>
      <c r="BZ75" s="26">
        <v>0</v>
      </c>
      <c r="CA75" s="26">
        <v>0</v>
      </c>
      <c r="CB75" s="26">
        <v>0</v>
      </c>
      <c r="CC75" s="26">
        <v>0</v>
      </c>
      <c r="CD75" s="26">
        <v>0</v>
      </c>
      <c r="CE75" s="26">
        <v>0</v>
      </c>
      <c r="CF75" s="26">
        <v>0</v>
      </c>
      <c r="CH75" s="313">
        <v>0</v>
      </c>
      <c r="CI75" s="313">
        <v>0</v>
      </c>
      <c r="CJ75" s="313">
        <v>0</v>
      </c>
      <c r="CK75" s="313">
        <v>0</v>
      </c>
      <c r="CL75" s="313">
        <v>0</v>
      </c>
      <c r="CM75" s="313">
        <v>0</v>
      </c>
      <c r="CN75" s="313">
        <v>0</v>
      </c>
      <c r="CO75" s="313">
        <v>0</v>
      </c>
      <c r="CP75" s="313">
        <v>0</v>
      </c>
      <c r="CQ75" s="313">
        <v>0</v>
      </c>
      <c r="CR75" s="313">
        <v>0</v>
      </c>
      <c r="CS75" s="313">
        <v>0</v>
      </c>
      <c r="CU75" s="313">
        <v>0</v>
      </c>
      <c r="CV75" s="313">
        <v>0</v>
      </c>
      <c r="CW75" s="313">
        <v>0</v>
      </c>
      <c r="CX75" s="313">
        <v>0</v>
      </c>
      <c r="CY75" s="313">
        <v>0</v>
      </c>
      <c r="CZ75" s="313">
        <v>0</v>
      </c>
      <c r="DA75" s="313">
        <v>0</v>
      </c>
      <c r="DB75" s="313">
        <v>0</v>
      </c>
      <c r="DC75" s="313">
        <v>0</v>
      </c>
      <c r="DD75" s="313">
        <v>0</v>
      </c>
      <c r="DE75" s="313">
        <v>0</v>
      </c>
      <c r="DF75" s="313">
        <v>0</v>
      </c>
    </row>
    <row r="76" spans="1:110" ht="15" thickBot="1">
      <c r="A76" s="19" t="s">
        <v>114</v>
      </c>
      <c r="B76" s="5" t="s">
        <v>115</v>
      </c>
      <c r="D76" s="5"/>
      <c r="E76" s="5"/>
      <c r="F76" s="5"/>
      <c r="G76" s="5"/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5"/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5"/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U76" s="26">
        <v>0</v>
      </c>
      <c r="BV76" s="26">
        <v>0</v>
      </c>
      <c r="BW76" s="26">
        <v>0</v>
      </c>
      <c r="BX76" s="26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6">
        <v>0</v>
      </c>
      <c r="CH76" s="313">
        <v>0</v>
      </c>
      <c r="CI76" s="313">
        <v>0</v>
      </c>
      <c r="CJ76" s="313">
        <v>0</v>
      </c>
      <c r="CK76" s="313">
        <v>0</v>
      </c>
      <c r="CL76" s="313">
        <v>0</v>
      </c>
      <c r="CM76" s="313">
        <v>0</v>
      </c>
      <c r="CN76" s="313">
        <v>0</v>
      </c>
      <c r="CO76" s="313">
        <v>0</v>
      </c>
      <c r="CP76" s="313">
        <v>0</v>
      </c>
      <c r="CQ76" s="313">
        <v>0</v>
      </c>
      <c r="CR76" s="313">
        <v>0</v>
      </c>
      <c r="CS76" s="313">
        <v>0</v>
      </c>
      <c r="CU76" s="313">
        <v>0</v>
      </c>
      <c r="CV76" s="313">
        <v>0</v>
      </c>
      <c r="CW76" s="313">
        <v>0</v>
      </c>
      <c r="CX76" s="313">
        <v>0</v>
      </c>
      <c r="CY76" s="313">
        <v>0</v>
      </c>
      <c r="CZ76" s="313">
        <v>0</v>
      </c>
      <c r="DA76" s="313">
        <v>0</v>
      </c>
      <c r="DB76" s="313">
        <v>0</v>
      </c>
      <c r="DC76" s="313">
        <v>0</v>
      </c>
      <c r="DD76" s="313">
        <v>0</v>
      </c>
      <c r="DE76" s="313">
        <v>0</v>
      </c>
      <c r="DF76" s="313">
        <v>0</v>
      </c>
    </row>
    <row r="77" spans="1:110" ht="15.75" thickBot="1">
      <c r="A77" s="16">
        <v>3</v>
      </c>
      <c r="B77" s="10" t="s">
        <v>99</v>
      </c>
      <c r="C77">
        <f>C79</f>
        <v>0</v>
      </c>
      <c r="D77" s="39">
        <f>D79</f>
        <v>0</v>
      </c>
      <c r="E77" s="39">
        <f t="shared" ref="E77" si="465">E79</f>
        <v>0</v>
      </c>
      <c r="F77" s="39">
        <f t="shared" ref="F77:G77" si="466">F79</f>
        <v>147.22874999999999</v>
      </c>
      <c r="G77" s="39">
        <f t="shared" si="466"/>
        <v>294.45749999999998</v>
      </c>
      <c r="H77" s="39">
        <f>H79</f>
        <v>1585.9649999999997</v>
      </c>
      <c r="I77" s="39">
        <f t="shared" ref="I77:S77" si="467">I79</f>
        <v>1585.9649999999997</v>
      </c>
      <c r="J77" s="39">
        <f t="shared" si="467"/>
        <v>1585.9649999999997</v>
      </c>
      <c r="K77" s="39">
        <f t="shared" si="467"/>
        <v>1585.9649999999997</v>
      </c>
      <c r="L77" s="39">
        <f t="shared" si="467"/>
        <v>1585.9649999999997</v>
      </c>
      <c r="M77" s="39">
        <f t="shared" si="467"/>
        <v>1585.9649999999997</v>
      </c>
      <c r="N77" s="39">
        <f t="shared" si="467"/>
        <v>1585.9649999999997</v>
      </c>
      <c r="O77" s="39">
        <f t="shared" si="467"/>
        <v>1585.9649999999997</v>
      </c>
      <c r="P77" s="39">
        <f t="shared" si="467"/>
        <v>1585.9649999999997</v>
      </c>
      <c r="Q77" s="39">
        <f t="shared" si="467"/>
        <v>1585.9649999999997</v>
      </c>
      <c r="R77" s="39">
        <f t="shared" si="467"/>
        <v>1585.9649999999997</v>
      </c>
      <c r="S77" s="39">
        <f t="shared" si="467"/>
        <v>1585.9649999999997</v>
      </c>
      <c r="T77" s="5"/>
      <c r="U77" s="39">
        <f>U79</f>
        <v>3316.3124999999995</v>
      </c>
      <c r="V77" s="39">
        <f>V79</f>
        <v>3316.3124999999995</v>
      </c>
      <c r="W77" s="39">
        <f t="shared" ref="W77:AF77" si="468">W79</f>
        <v>9025.8971874999988</v>
      </c>
      <c r="X77" s="39">
        <f t="shared" si="468"/>
        <v>9025.8971874999988</v>
      </c>
      <c r="Y77" s="39">
        <f t="shared" si="468"/>
        <v>9025.8971874999988</v>
      </c>
      <c r="Z77" s="39">
        <f t="shared" si="468"/>
        <v>9025.8971874999988</v>
      </c>
      <c r="AA77" s="39">
        <f t="shared" si="468"/>
        <v>9025.8971874999988</v>
      </c>
      <c r="AB77" s="39">
        <f t="shared" si="468"/>
        <v>9025.8971874999988</v>
      </c>
      <c r="AC77" s="39">
        <f t="shared" si="468"/>
        <v>9025.8971874999988</v>
      </c>
      <c r="AD77" s="39">
        <f t="shared" si="468"/>
        <v>9025.8971874999988</v>
      </c>
      <c r="AE77" s="39">
        <f t="shared" si="468"/>
        <v>9025.8971874999988</v>
      </c>
      <c r="AF77" s="39">
        <f t="shared" si="468"/>
        <v>9025.8971874999988</v>
      </c>
      <c r="AG77" s="5"/>
      <c r="AH77" s="39">
        <f>AH79</f>
        <v>14441.4355</v>
      </c>
      <c r="AI77" s="39">
        <f t="shared" ref="AI77:AS77" si="469">AI79</f>
        <v>14441.4355</v>
      </c>
      <c r="AJ77" s="39">
        <f t="shared" si="469"/>
        <v>14441.4355</v>
      </c>
      <c r="AK77" s="39">
        <f t="shared" si="469"/>
        <v>14441.4355</v>
      </c>
      <c r="AL77" s="39">
        <f t="shared" si="469"/>
        <v>14441.4355</v>
      </c>
      <c r="AM77" s="39">
        <f t="shared" si="469"/>
        <v>14441.4355</v>
      </c>
      <c r="AN77" s="39">
        <f t="shared" si="469"/>
        <v>14441.4355</v>
      </c>
      <c r="AO77" s="39">
        <f t="shared" si="469"/>
        <v>14441.4355</v>
      </c>
      <c r="AP77" s="39">
        <f t="shared" si="469"/>
        <v>14441.4355</v>
      </c>
      <c r="AQ77" s="39">
        <f t="shared" si="469"/>
        <v>14441.4355</v>
      </c>
      <c r="AR77" s="39">
        <f t="shared" si="469"/>
        <v>14441.4355</v>
      </c>
      <c r="AS77" s="39">
        <f t="shared" si="469"/>
        <v>14441.4355</v>
      </c>
      <c r="AU77" s="39">
        <f>AU79</f>
        <v>18051.794374999998</v>
      </c>
      <c r="AV77" s="39">
        <f t="shared" ref="AV77:BF77" si="470">AV79</f>
        <v>18051.794374999998</v>
      </c>
      <c r="AW77" s="39">
        <f t="shared" si="470"/>
        <v>18051.794374999998</v>
      </c>
      <c r="AX77" s="39">
        <f t="shared" si="470"/>
        <v>18051.794374999998</v>
      </c>
      <c r="AY77" s="39">
        <f t="shared" si="470"/>
        <v>18051.794374999998</v>
      </c>
      <c r="AZ77" s="39">
        <f t="shared" si="470"/>
        <v>18051.794374999998</v>
      </c>
      <c r="BA77" s="39">
        <f t="shared" si="470"/>
        <v>18051.794374999998</v>
      </c>
      <c r="BB77" s="39">
        <f t="shared" si="470"/>
        <v>18051.794374999998</v>
      </c>
      <c r="BC77" s="39">
        <f t="shared" si="470"/>
        <v>18051.794374999998</v>
      </c>
      <c r="BD77" s="39">
        <f t="shared" si="470"/>
        <v>18051.794374999998</v>
      </c>
      <c r="BE77" s="39">
        <f t="shared" si="470"/>
        <v>18051.794374999998</v>
      </c>
      <c r="BF77" s="39">
        <f t="shared" si="470"/>
        <v>18051.794374999998</v>
      </c>
      <c r="BH77" s="39">
        <f>BH79</f>
        <v>21662.153249999996</v>
      </c>
      <c r="BI77" s="39">
        <f t="shared" ref="BI77:BS77" si="471">BI79</f>
        <v>21662.153249999996</v>
      </c>
      <c r="BJ77" s="39">
        <f t="shared" si="471"/>
        <v>21662.153249999996</v>
      </c>
      <c r="BK77" s="39">
        <f t="shared" si="471"/>
        <v>21662.153249999996</v>
      </c>
      <c r="BL77" s="39">
        <f t="shared" si="471"/>
        <v>21662.153249999996</v>
      </c>
      <c r="BM77" s="39">
        <f t="shared" si="471"/>
        <v>21662.153249999996</v>
      </c>
      <c r="BN77" s="39">
        <f t="shared" si="471"/>
        <v>21662.153249999996</v>
      </c>
      <c r="BO77" s="39">
        <f t="shared" si="471"/>
        <v>21662.153249999996</v>
      </c>
      <c r="BP77" s="39">
        <f t="shared" si="471"/>
        <v>21662.153249999996</v>
      </c>
      <c r="BQ77" s="39">
        <f t="shared" si="471"/>
        <v>21662.153249999996</v>
      </c>
      <c r="BR77" s="39">
        <f t="shared" si="471"/>
        <v>21662.153249999996</v>
      </c>
      <c r="BS77" s="39">
        <f t="shared" si="471"/>
        <v>21662.153249999996</v>
      </c>
      <c r="BU77" s="39">
        <f>BU79</f>
        <v>25272.512124999994</v>
      </c>
      <c r="BV77" s="39">
        <f t="shared" ref="BV77:CF77" si="472">BV79</f>
        <v>25272.512124999994</v>
      </c>
      <c r="BW77" s="39">
        <f t="shared" si="472"/>
        <v>25272.512124999994</v>
      </c>
      <c r="BX77" s="39">
        <f t="shared" si="472"/>
        <v>25272.512124999994</v>
      </c>
      <c r="BY77" s="39">
        <f t="shared" si="472"/>
        <v>25272.512124999994</v>
      </c>
      <c r="BZ77" s="39">
        <f t="shared" si="472"/>
        <v>25272.512124999994</v>
      </c>
      <c r="CA77" s="39">
        <f t="shared" si="472"/>
        <v>25272.512124999994</v>
      </c>
      <c r="CB77" s="39">
        <f t="shared" si="472"/>
        <v>25272.512124999994</v>
      </c>
      <c r="CC77" s="39">
        <f t="shared" si="472"/>
        <v>25272.512124999994</v>
      </c>
      <c r="CD77" s="39">
        <f t="shared" si="472"/>
        <v>25272.512124999994</v>
      </c>
      <c r="CE77" s="39">
        <f t="shared" si="472"/>
        <v>25272.512124999994</v>
      </c>
      <c r="CF77" s="39">
        <f t="shared" si="472"/>
        <v>25272.512124999994</v>
      </c>
      <c r="CH77" s="312">
        <f>CH79</f>
        <v>25272.512124999994</v>
      </c>
      <c r="CI77" s="312">
        <f t="shared" ref="CI77:CR77" si="473">CI79</f>
        <v>25272.512124999994</v>
      </c>
      <c r="CJ77" s="312">
        <f t="shared" si="473"/>
        <v>25272.512124999994</v>
      </c>
      <c r="CK77" s="312">
        <f t="shared" si="473"/>
        <v>25272.512124999994</v>
      </c>
      <c r="CL77" s="312">
        <f t="shared" si="473"/>
        <v>25272.512124999994</v>
      </c>
      <c r="CM77" s="312">
        <f t="shared" si="473"/>
        <v>25272.512124999994</v>
      </c>
      <c r="CN77" s="312">
        <f t="shared" si="473"/>
        <v>25272.512124999994</v>
      </c>
      <c r="CO77" s="312">
        <f t="shared" si="473"/>
        <v>25272.512124999994</v>
      </c>
      <c r="CP77" s="312">
        <f t="shared" si="473"/>
        <v>25272.512124999994</v>
      </c>
      <c r="CQ77" s="312">
        <f t="shared" si="473"/>
        <v>25272.512124999994</v>
      </c>
      <c r="CR77" s="312">
        <f t="shared" si="473"/>
        <v>25272.512124999994</v>
      </c>
      <c r="CS77" s="312">
        <f>CS79</f>
        <v>25272.512124999994</v>
      </c>
      <c r="CU77" s="333">
        <f>CU79</f>
        <v>27077.691562499997</v>
      </c>
      <c r="CV77" s="333">
        <f t="shared" ref="CV77:DF77" si="474">CV79</f>
        <v>27077.691562499997</v>
      </c>
      <c r="CW77" s="333">
        <f t="shared" si="474"/>
        <v>27077.691562499997</v>
      </c>
      <c r="CX77" s="333">
        <f t="shared" si="474"/>
        <v>27077.691562499997</v>
      </c>
      <c r="CY77" s="333">
        <f t="shared" si="474"/>
        <v>27077.691562499997</v>
      </c>
      <c r="CZ77" s="333">
        <f t="shared" si="474"/>
        <v>27077.691562499997</v>
      </c>
      <c r="DA77" s="333">
        <f t="shared" si="474"/>
        <v>27077.691562499997</v>
      </c>
      <c r="DB77" s="333">
        <f t="shared" si="474"/>
        <v>27077.691562499997</v>
      </c>
      <c r="DC77" s="333">
        <f t="shared" si="474"/>
        <v>27077.691562499997</v>
      </c>
      <c r="DD77" s="333">
        <f t="shared" si="474"/>
        <v>27077.691562499997</v>
      </c>
      <c r="DE77" s="333">
        <f t="shared" si="474"/>
        <v>27077.691562499997</v>
      </c>
      <c r="DF77" s="333">
        <f t="shared" si="474"/>
        <v>27077.691562499997</v>
      </c>
    </row>
    <row r="78" spans="1:110" ht="15.75" thickBot="1">
      <c r="A78" s="16"/>
      <c r="B78" s="10" t="s">
        <v>155</v>
      </c>
      <c r="C78" s="258">
        <v>0.06</v>
      </c>
      <c r="D78" s="58">
        <v>0.06</v>
      </c>
      <c r="E78" s="58">
        <v>0.06</v>
      </c>
      <c r="F78" s="58">
        <v>0.06</v>
      </c>
      <c r="G78" s="58">
        <v>0.06</v>
      </c>
      <c r="H78" s="58">
        <v>0.06</v>
      </c>
      <c r="I78" s="58">
        <v>0.06</v>
      </c>
      <c r="J78" s="58">
        <v>0.06</v>
      </c>
      <c r="K78" s="58">
        <v>0.06</v>
      </c>
      <c r="L78" s="58">
        <v>0.06</v>
      </c>
      <c r="M78" s="58">
        <v>0.06</v>
      </c>
      <c r="N78" s="58">
        <v>0.06</v>
      </c>
      <c r="O78" s="58">
        <v>0.06</v>
      </c>
      <c r="P78" s="58">
        <v>0.06</v>
      </c>
      <c r="Q78" s="58">
        <v>0.06</v>
      </c>
      <c r="R78" s="58">
        <v>0.06</v>
      </c>
      <c r="S78" s="58">
        <v>0.06</v>
      </c>
      <c r="T78" s="5"/>
      <c r="U78" s="58">
        <v>0.06</v>
      </c>
      <c r="V78" s="58">
        <v>0.06</v>
      </c>
      <c r="W78" s="58">
        <v>0.1633</v>
      </c>
      <c r="X78" s="58">
        <v>0.1633</v>
      </c>
      <c r="Y78" s="58">
        <v>0.1633</v>
      </c>
      <c r="Z78" s="58">
        <v>0.1633</v>
      </c>
      <c r="AA78" s="58">
        <v>0.1633</v>
      </c>
      <c r="AB78" s="58">
        <v>0.1633</v>
      </c>
      <c r="AC78" s="58">
        <v>0.1633</v>
      </c>
      <c r="AD78" s="58">
        <v>0.1633</v>
      </c>
      <c r="AE78" s="58">
        <v>0.1633</v>
      </c>
      <c r="AF78" s="58">
        <v>0.1633</v>
      </c>
      <c r="AG78" s="5"/>
      <c r="AH78" s="58">
        <v>0.1633</v>
      </c>
      <c r="AI78" s="58">
        <v>0.1633</v>
      </c>
      <c r="AJ78" s="58">
        <v>0.1633</v>
      </c>
      <c r="AK78" s="58">
        <v>0.1633</v>
      </c>
      <c r="AL78" s="58">
        <v>0.1633</v>
      </c>
      <c r="AM78" s="58">
        <v>0.1633</v>
      </c>
      <c r="AN78" s="58">
        <v>0.1633</v>
      </c>
      <c r="AO78" s="58">
        <v>0.1633</v>
      </c>
      <c r="AP78" s="58">
        <v>0.1633</v>
      </c>
      <c r="AQ78" s="58">
        <v>0.1633</v>
      </c>
      <c r="AR78" s="58">
        <v>0.1633</v>
      </c>
      <c r="AS78" s="58">
        <v>0.1633</v>
      </c>
      <c r="AU78" s="58">
        <v>0.1633</v>
      </c>
      <c r="AV78" s="58">
        <v>0.1633</v>
      </c>
      <c r="AW78" s="58">
        <v>0.1633</v>
      </c>
      <c r="AX78" s="58">
        <v>0.1633</v>
      </c>
      <c r="AY78" s="58">
        <v>0.1633</v>
      </c>
      <c r="AZ78" s="58">
        <v>0.1633</v>
      </c>
      <c r="BA78" s="58">
        <v>0.1633</v>
      </c>
      <c r="BB78" s="58">
        <v>0.1633</v>
      </c>
      <c r="BC78" s="58">
        <v>0.1633</v>
      </c>
      <c r="BD78" s="58">
        <v>0.1633</v>
      </c>
      <c r="BE78" s="58">
        <v>0.1633</v>
      </c>
      <c r="BF78" s="58">
        <v>0.1633</v>
      </c>
      <c r="BH78" s="58">
        <v>0.1633</v>
      </c>
      <c r="BI78" s="58">
        <v>0.1633</v>
      </c>
      <c r="BJ78" s="58">
        <v>0.1633</v>
      </c>
      <c r="BK78" s="58">
        <v>0.1633</v>
      </c>
      <c r="BL78" s="58">
        <v>0.1633</v>
      </c>
      <c r="BM78" s="58">
        <v>0.1633</v>
      </c>
      <c r="BN78" s="58">
        <v>0.1633</v>
      </c>
      <c r="BO78" s="58">
        <v>0.1633</v>
      </c>
      <c r="BP78" s="58">
        <v>0.1633</v>
      </c>
      <c r="BQ78" s="58">
        <v>0.1633</v>
      </c>
      <c r="BR78" s="58">
        <v>0.1633</v>
      </c>
      <c r="BS78" s="58">
        <v>0.1633</v>
      </c>
      <c r="BU78" s="58">
        <v>0.1633</v>
      </c>
      <c r="BV78" s="58">
        <v>0.1633</v>
      </c>
      <c r="BW78" s="58">
        <v>0.1633</v>
      </c>
      <c r="BX78" s="58">
        <v>0.1633</v>
      </c>
      <c r="BY78" s="58">
        <v>0.1633</v>
      </c>
      <c r="BZ78" s="58">
        <v>0.1633</v>
      </c>
      <c r="CA78" s="58">
        <v>0.1633</v>
      </c>
      <c r="CB78" s="58">
        <v>0.1633</v>
      </c>
      <c r="CC78" s="58">
        <v>0.1633</v>
      </c>
      <c r="CD78" s="58">
        <v>0.1633</v>
      </c>
      <c r="CE78" s="58">
        <v>0.1633</v>
      </c>
      <c r="CF78" s="58">
        <v>0.1633</v>
      </c>
      <c r="CH78" s="58">
        <v>0.1633</v>
      </c>
      <c r="CI78" s="58">
        <v>0.1633</v>
      </c>
      <c r="CJ78" s="58">
        <v>0.1633</v>
      </c>
      <c r="CK78" s="58">
        <v>0.1633</v>
      </c>
      <c r="CL78" s="58">
        <v>0.1633</v>
      </c>
      <c r="CM78" s="58">
        <v>0.1633</v>
      </c>
      <c r="CN78" s="58">
        <v>0.1633</v>
      </c>
      <c r="CO78" s="58">
        <v>0.1633</v>
      </c>
      <c r="CP78" s="58">
        <v>0.1633</v>
      </c>
      <c r="CQ78" s="58">
        <v>0.1633</v>
      </c>
      <c r="CR78" s="58">
        <v>0.1633</v>
      </c>
      <c r="CS78" s="58">
        <v>0.1633</v>
      </c>
      <c r="CU78" s="58">
        <v>0.1633</v>
      </c>
      <c r="CV78" s="58">
        <v>0.1633</v>
      </c>
      <c r="CW78" s="58">
        <v>0.1633</v>
      </c>
      <c r="CX78" s="58">
        <v>0.1633</v>
      </c>
      <c r="CY78" s="58">
        <v>0.1633</v>
      </c>
      <c r="CZ78" s="58">
        <v>0.1633</v>
      </c>
      <c r="DA78" s="58">
        <v>0.1633</v>
      </c>
      <c r="DB78" s="58">
        <v>0.1633</v>
      </c>
      <c r="DC78" s="58">
        <v>0.1633</v>
      </c>
      <c r="DD78" s="58">
        <v>0.1633</v>
      </c>
      <c r="DE78" s="58">
        <v>0.1633</v>
      </c>
      <c r="DF78" s="58">
        <v>0.1633</v>
      </c>
    </row>
    <row r="79" spans="1:110" ht="15" thickBot="1">
      <c r="A79" s="19" t="s">
        <v>117</v>
      </c>
      <c r="B79" s="5" t="s">
        <v>211</v>
      </c>
      <c r="C79">
        <f>C78*C2</f>
        <v>0</v>
      </c>
      <c r="D79" s="26">
        <f>D78*D2</f>
        <v>0</v>
      </c>
      <c r="E79" s="26">
        <f t="shared" ref="E79:S79" si="475">E78*E2</f>
        <v>0</v>
      </c>
      <c r="F79" s="26">
        <f t="shared" si="475"/>
        <v>147.22874999999999</v>
      </c>
      <c r="G79" s="26">
        <f>G78*G2</f>
        <v>294.45749999999998</v>
      </c>
      <c r="H79" s="26">
        <f t="shared" si="475"/>
        <v>1585.9649999999997</v>
      </c>
      <c r="I79" s="26">
        <f>I78*I2</f>
        <v>1585.9649999999997</v>
      </c>
      <c r="J79" s="26">
        <f t="shared" si="475"/>
        <v>1585.9649999999997</v>
      </c>
      <c r="K79" s="26">
        <f t="shared" si="475"/>
        <v>1585.9649999999997</v>
      </c>
      <c r="L79" s="26">
        <f t="shared" si="475"/>
        <v>1585.9649999999997</v>
      </c>
      <c r="M79" s="26">
        <f t="shared" si="475"/>
        <v>1585.9649999999997</v>
      </c>
      <c r="N79" s="26">
        <f t="shared" si="475"/>
        <v>1585.9649999999997</v>
      </c>
      <c r="O79" s="26">
        <f t="shared" si="475"/>
        <v>1585.9649999999997</v>
      </c>
      <c r="P79" s="26">
        <f t="shared" si="475"/>
        <v>1585.9649999999997</v>
      </c>
      <c r="Q79" s="26">
        <f t="shared" si="475"/>
        <v>1585.9649999999997</v>
      </c>
      <c r="R79" s="26">
        <f t="shared" si="475"/>
        <v>1585.9649999999997</v>
      </c>
      <c r="S79" s="26">
        <f t="shared" si="475"/>
        <v>1585.9649999999997</v>
      </c>
      <c r="T79" s="5"/>
      <c r="U79" s="26">
        <f t="shared" ref="U79:AF79" si="476">U78*U2</f>
        <v>3316.3124999999995</v>
      </c>
      <c r="V79" s="26">
        <f>V78*V2</f>
        <v>3316.3124999999995</v>
      </c>
      <c r="W79" s="26">
        <f t="shared" si="476"/>
        <v>9025.8971874999988</v>
      </c>
      <c r="X79" s="26">
        <f t="shared" si="476"/>
        <v>9025.8971874999988</v>
      </c>
      <c r="Y79" s="26">
        <f t="shared" si="476"/>
        <v>9025.8971874999988</v>
      </c>
      <c r="Z79" s="26">
        <f t="shared" si="476"/>
        <v>9025.8971874999988</v>
      </c>
      <c r="AA79" s="26">
        <f t="shared" si="476"/>
        <v>9025.8971874999988</v>
      </c>
      <c r="AB79" s="26">
        <f t="shared" si="476"/>
        <v>9025.8971874999988</v>
      </c>
      <c r="AC79" s="26">
        <f t="shared" si="476"/>
        <v>9025.8971874999988</v>
      </c>
      <c r="AD79" s="26">
        <f t="shared" si="476"/>
        <v>9025.8971874999988</v>
      </c>
      <c r="AE79" s="26">
        <f t="shared" si="476"/>
        <v>9025.8971874999988</v>
      </c>
      <c r="AF79" s="26">
        <f t="shared" si="476"/>
        <v>9025.8971874999988</v>
      </c>
      <c r="AG79" s="5"/>
      <c r="AH79" s="26">
        <f t="shared" ref="AH79:AS79" si="477">AH78*AH2</f>
        <v>14441.4355</v>
      </c>
      <c r="AI79" s="26">
        <f t="shared" si="477"/>
        <v>14441.4355</v>
      </c>
      <c r="AJ79" s="26">
        <f t="shared" si="477"/>
        <v>14441.4355</v>
      </c>
      <c r="AK79" s="26">
        <f t="shared" si="477"/>
        <v>14441.4355</v>
      </c>
      <c r="AL79" s="26">
        <f t="shared" si="477"/>
        <v>14441.4355</v>
      </c>
      <c r="AM79" s="26">
        <f t="shared" si="477"/>
        <v>14441.4355</v>
      </c>
      <c r="AN79" s="26">
        <f t="shared" si="477"/>
        <v>14441.4355</v>
      </c>
      <c r="AO79" s="26">
        <f t="shared" si="477"/>
        <v>14441.4355</v>
      </c>
      <c r="AP79" s="26">
        <f t="shared" si="477"/>
        <v>14441.4355</v>
      </c>
      <c r="AQ79" s="26">
        <f t="shared" si="477"/>
        <v>14441.4355</v>
      </c>
      <c r="AR79" s="26">
        <f t="shared" si="477"/>
        <v>14441.4355</v>
      </c>
      <c r="AS79" s="26">
        <f t="shared" si="477"/>
        <v>14441.4355</v>
      </c>
      <c r="AU79" s="26">
        <f t="shared" ref="AU79:BF79" si="478">AU78*AU2</f>
        <v>18051.794374999998</v>
      </c>
      <c r="AV79" s="26">
        <f t="shared" si="478"/>
        <v>18051.794374999998</v>
      </c>
      <c r="AW79" s="26">
        <f t="shared" si="478"/>
        <v>18051.794374999998</v>
      </c>
      <c r="AX79" s="26">
        <f t="shared" si="478"/>
        <v>18051.794374999998</v>
      </c>
      <c r="AY79" s="26">
        <f t="shared" si="478"/>
        <v>18051.794374999998</v>
      </c>
      <c r="AZ79" s="26">
        <f t="shared" si="478"/>
        <v>18051.794374999998</v>
      </c>
      <c r="BA79" s="26">
        <f t="shared" si="478"/>
        <v>18051.794374999998</v>
      </c>
      <c r="BB79" s="26">
        <f t="shared" si="478"/>
        <v>18051.794374999998</v>
      </c>
      <c r="BC79" s="26">
        <f t="shared" si="478"/>
        <v>18051.794374999998</v>
      </c>
      <c r="BD79" s="26">
        <f t="shared" si="478"/>
        <v>18051.794374999998</v>
      </c>
      <c r="BE79" s="26">
        <f t="shared" si="478"/>
        <v>18051.794374999998</v>
      </c>
      <c r="BF79" s="26">
        <f t="shared" si="478"/>
        <v>18051.794374999998</v>
      </c>
      <c r="BH79" s="26">
        <f t="shared" ref="BH79:BS79" si="479">BH78*BH2</f>
        <v>21662.153249999996</v>
      </c>
      <c r="BI79" s="26">
        <f t="shared" si="479"/>
        <v>21662.153249999996</v>
      </c>
      <c r="BJ79" s="26">
        <f t="shared" si="479"/>
        <v>21662.153249999996</v>
      </c>
      <c r="BK79" s="26">
        <f t="shared" si="479"/>
        <v>21662.153249999996</v>
      </c>
      <c r="BL79" s="26">
        <f t="shared" si="479"/>
        <v>21662.153249999996</v>
      </c>
      <c r="BM79" s="26">
        <f t="shared" si="479"/>
        <v>21662.153249999996</v>
      </c>
      <c r="BN79" s="26">
        <f t="shared" si="479"/>
        <v>21662.153249999996</v>
      </c>
      <c r="BO79" s="26">
        <f t="shared" si="479"/>
        <v>21662.153249999996</v>
      </c>
      <c r="BP79" s="26">
        <f t="shared" si="479"/>
        <v>21662.153249999996</v>
      </c>
      <c r="BQ79" s="26">
        <f t="shared" si="479"/>
        <v>21662.153249999996</v>
      </c>
      <c r="BR79" s="26">
        <f t="shared" si="479"/>
        <v>21662.153249999996</v>
      </c>
      <c r="BS79" s="26">
        <f t="shared" si="479"/>
        <v>21662.153249999996</v>
      </c>
      <c r="BU79" s="26">
        <f t="shared" ref="BU79:CE79" si="480">BU78*BU2</f>
        <v>25272.512124999994</v>
      </c>
      <c r="BV79" s="26">
        <f t="shared" si="480"/>
        <v>25272.512124999994</v>
      </c>
      <c r="BW79" s="26">
        <f t="shared" si="480"/>
        <v>25272.512124999994</v>
      </c>
      <c r="BX79" s="26">
        <f t="shared" si="480"/>
        <v>25272.512124999994</v>
      </c>
      <c r="BY79" s="26">
        <f t="shared" si="480"/>
        <v>25272.512124999994</v>
      </c>
      <c r="BZ79" s="26">
        <f t="shared" si="480"/>
        <v>25272.512124999994</v>
      </c>
      <c r="CA79" s="26">
        <f t="shared" si="480"/>
        <v>25272.512124999994</v>
      </c>
      <c r="CB79" s="26">
        <f t="shared" si="480"/>
        <v>25272.512124999994</v>
      </c>
      <c r="CC79" s="26">
        <f t="shared" si="480"/>
        <v>25272.512124999994</v>
      </c>
      <c r="CD79" s="26">
        <f t="shared" si="480"/>
        <v>25272.512124999994</v>
      </c>
      <c r="CE79" s="26">
        <f t="shared" si="480"/>
        <v>25272.512124999994</v>
      </c>
      <c r="CF79" s="26">
        <f>CF78*CF2</f>
        <v>25272.512124999994</v>
      </c>
      <c r="CH79" s="302">
        <f>CH78*CH2</f>
        <v>25272.512124999994</v>
      </c>
      <c r="CI79" s="302">
        <f t="shared" ref="CI79:CR79" si="481">CI78*CI2</f>
        <v>25272.512124999994</v>
      </c>
      <c r="CJ79" s="302">
        <f t="shared" si="481"/>
        <v>25272.512124999994</v>
      </c>
      <c r="CK79" s="302">
        <f t="shared" si="481"/>
        <v>25272.512124999994</v>
      </c>
      <c r="CL79" s="302">
        <f t="shared" si="481"/>
        <v>25272.512124999994</v>
      </c>
      <c r="CM79" s="302">
        <f t="shared" si="481"/>
        <v>25272.512124999994</v>
      </c>
      <c r="CN79" s="302">
        <f t="shared" si="481"/>
        <v>25272.512124999994</v>
      </c>
      <c r="CO79" s="302">
        <f t="shared" si="481"/>
        <v>25272.512124999994</v>
      </c>
      <c r="CP79" s="302">
        <f t="shared" si="481"/>
        <v>25272.512124999994</v>
      </c>
      <c r="CQ79" s="302">
        <f t="shared" si="481"/>
        <v>25272.512124999994</v>
      </c>
      <c r="CR79" s="302">
        <f t="shared" si="481"/>
        <v>25272.512124999994</v>
      </c>
      <c r="CS79" s="302">
        <f>CS78*CS2</f>
        <v>25272.512124999994</v>
      </c>
      <c r="CU79" s="302">
        <f>CU78*CU2</f>
        <v>27077.691562499997</v>
      </c>
      <c r="CV79" s="302">
        <f t="shared" ref="CV79:DF79" si="482">CV78*CV2</f>
        <v>27077.691562499997</v>
      </c>
      <c r="CW79" s="302">
        <f t="shared" si="482"/>
        <v>27077.691562499997</v>
      </c>
      <c r="CX79" s="302">
        <f t="shared" si="482"/>
        <v>27077.691562499997</v>
      </c>
      <c r="CY79" s="302">
        <f t="shared" si="482"/>
        <v>27077.691562499997</v>
      </c>
      <c r="CZ79" s="302">
        <f t="shared" si="482"/>
        <v>27077.691562499997</v>
      </c>
      <c r="DA79" s="302">
        <f t="shared" si="482"/>
        <v>27077.691562499997</v>
      </c>
      <c r="DB79" s="302">
        <f t="shared" si="482"/>
        <v>27077.691562499997</v>
      </c>
      <c r="DC79" s="302">
        <f t="shared" si="482"/>
        <v>27077.691562499997</v>
      </c>
      <c r="DD79" s="302">
        <f t="shared" si="482"/>
        <v>27077.691562499997</v>
      </c>
      <c r="DE79" s="302">
        <f t="shared" si="482"/>
        <v>27077.691562499997</v>
      </c>
      <c r="DF79" s="302">
        <f t="shared" si="482"/>
        <v>27077.691562499997</v>
      </c>
    </row>
    <row r="80" spans="1:110" ht="15.75" thickBot="1">
      <c r="A80" s="16">
        <v>4</v>
      </c>
      <c r="B80" s="10" t="s">
        <v>69</v>
      </c>
      <c r="C80">
        <f>C81</f>
        <v>0</v>
      </c>
      <c r="D80" s="21">
        <f>D81</f>
        <v>0</v>
      </c>
      <c r="E80" s="21">
        <f t="shared" ref="E80:E82" si="483">E81</f>
        <v>0</v>
      </c>
      <c r="F80" s="21">
        <f>F81</f>
        <v>0</v>
      </c>
      <c r="G80" s="21">
        <f t="shared" ref="G80:S82" si="484">G81</f>
        <v>0</v>
      </c>
      <c r="H80" s="21">
        <f>H81</f>
        <v>0</v>
      </c>
      <c r="I80" s="21">
        <f t="shared" si="484"/>
        <v>0</v>
      </c>
      <c r="J80" s="21">
        <f t="shared" si="484"/>
        <v>0</v>
      </c>
      <c r="K80" s="21">
        <f t="shared" si="484"/>
        <v>0</v>
      </c>
      <c r="L80" s="21">
        <f t="shared" si="484"/>
        <v>0</v>
      </c>
      <c r="M80" s="21">
        <f t="shared" si="484"/>
        <v>0</v>
      </c>
      <c r="N80" s="21">
        <f t="shared" si="484"/>
        <v>0</v>
      </c>
      <c r="O80" s="21">
        <f t="shared" si="484"/>
        <v>0</v>
      </c>
      <c r="P80" s="21">
        <f t="shared" si="484"/>
        <v>0</v>
      </c>
      <c r="Q80" s="21">
        <f t="shared" si="484"/>
        <v>0</v>
      </c>
      <c r="R80" s="21">
        <f t="shared" si="484"/>
        <v>0</v>
      </c>
      <c r="S80" s="21">
        <f t="shared" si="484"/>
        <v>0</v>
      </c>
      <c r="T80" s="5"/>
      <c r="U80" s="21">
        <f>U81</f>
        <v>0</v>
      </c>
      <c r="V80" s="21">
        <f t="shared" ref="V80:AF82" si="485">V81</f>
        <v>0</v>
      </c>
      <c r="W80" s="21">
        <f t="shared" si="485"/>
        <v>0</v>
      </c>
      <c r="X80" s="21">
        <f t="shared" si="485"/>
        <v>0</v>
      </c>
      <c r="Y80" s="21">
        <f t="shared" si="485"/>
        <v>0</v>
      </c>
      <c r="Z80" s="21">
        <f t="shared" si="485"/>
        <v>0</v>
      </c>
      <c r="AA80" s="21">
        <f t="shared" si="485"/>
        <v>0</v>
      </c>
      <c r="AB80" s="21">
        <f t="shared" si="485"/>
        <v>0</v>
      </c>
      <c r="AC80" s="21">
        <f t="shared" si="485"/>
        <v>0</v>
      </c>
      <c r="AD80" s="21">
        <f t="shared" si="485"/>
        <v>0</v>
      </c>
      <c r="AE80" s="21">
        <f t="shared" si="485"/>
        <v>0</v>
      </c>
      <c r="AF80" s="21">
        <f t="shared" si="485"/>
        <v>0</v>
      </c>
      <c r="AG80" s="5"/>
      <c r="AH80" s="21">
        <f>AH81</f>
        <v>0</v>
      </c>
      <c r="AI80" s="21">
        <f t="shared" ref="AI80:AS82" si="486">AI81</f>
        <v>0</v>
      </c>
      <c r="AJ80" s="21">
        <f t="shared" si="486"/>
        <v>0</v>
      </c>
      <c r="AK80" s="21">
        <f t="shared" si="486"/>
        <v>0</v>
      </c>
      <c r="AL80" s="21">
        <f t="shared" si="486"/>
        <v>0</v>
      </c>
      <c r="AM80" s="21">
        <f t="shared" si="486"/>
        <v>0</v>
      </c>
      <c r="AN80" s="21">
        <f t="shared" si="486"/>
        <v>0</v>
      </c>
      <c r="AO80" s="21">
        <f t="shared" si="486"/>
        <v>0</v>
      </c>
      <c r="AP80" s="21">
        <f t="shared" si="486"/>
        <v>0</v>
      </c>
      <c r="AQ80" s="21">
        <f t="shared" si="486"/>
        <v>0</v>
      </c>
      <c r="AR80" s="21">
        <f t="shared" si="486"/>
        <v>0</v>
      </c>
      <c r="AS80" s="21">
        <f t="shared" si="486"/>
        <v>0</v>
      </c>
      <c r="AU80" s="21">
        <f>AU81</f>
        <v>0</v>
      </c>
      <c r="AV80" s="21">
        <f t="shared" ref="AV80:BF82" si="487">AV81</f>
        <v>0</v>
      </c>
      <c r="AW80" s="21">
        <f t="shared" si="487"/>
        <v>0</v>
      </c>
      <c r="AX80" s="21">
        <f t="shared" si="487"/>
        <v>0</v>
      </c>
      <c r="AY80" s="21">
        <f t="shared" si="487"/>
        <v>0</v>
      </c>
      <c r="AZ80" s="21">
        <f t="shared" si="487"/>
        <v>0</v>
      </c>
      <c r="BA80" s="21">
        <f t="shared" si="487"/>
        <v>0</v>
      </c>
      <c r="BB80" s="21">
        <f t="shared" si="487"/>
        <v>0</v>
      </c>
      <c r="BC80" s="21">
        <f t="shared" si="487"/>
        <v>0</v>
      </c>
      <c r="BD80" s="21">
        <f t="shared" si="487"/>
        <v>0</v>
      </c>
      <c r="BE80" s="21">
        <f t="shared" si="487"/>
        <v>0</v>
      </c>
      <c r="BF80" s="21">
        <f t="shared" si="487"/>
        <v>0</v>
      </c>
      <c r="BH80" s="21">
        <f>BH81</f>
        <v>0</v>
      </c>
      <c r="BI80" s="21">
        <f t="shared" ref="BI80:BS82" si="488">BI81</f>
        <v>0</v>
      </c>
      <c r="BJ80" s="21">
        <f t="shared" si="488"/>
        <v>0</v>
      </c>
      <c r="BK80" s="21">
        <f t="shared" si="488"/>
        <v>0</v>
      </c>
      <c r="BL80" s="21">
        <f t="shared" si="488"/>
        <v>0</v>
      </c>
      <c r="BM80" s="21">
        <f t="shared" si="488"/>
        <v>0</v>
      </c>
      <c r="BN80" s="21">
        <f t="shared" si="488"/>
        <v>0</v>
      </c>
      <c r="BO80" s="21">
        <f t="shared" si="488"/>
        <v>0</v>
      </c>
      <c r="BP80" s="21">
        <f t="shared" si="488"/>
        <v>0</v>
      </c>
      <c r="BQ80" s="21">
        <f t="shared" si="488"/>
        <v>0</v>
      </c>
      <c r="BR80" s="21">
        <f t="shared" si="488"/>
        <v>0</v>
      </c>
      <c r="BS80" s="21">
        <f t="shared" si="488"/>
        <v>0</v>
      </c>
      <c r="BU80" s="21">
        <f>BU81</f>
        <v>0</v>
      </c>
      <c r="BV80" s="21">
        <f t="shared" ref="BV80:CF82" si="489">BV81</f>
        <v>0</v>
      </c>
      <c r="BW80" s="21">
        <f t="shared" si="489"/>
        <v>0</v>
      </c>
      <c r="BX80" s="21">
        <f t="shared" si="489"/>
        <v>0</v>
      </c>
      <c r="BY80" s="21">
        <f t="shared" si="489"/>
        <v>0</v>
      </c>
      <c r="BZ80" s="21">
        <f t="shared" si="489"/>
        <v>0</v>
      </c>
      <c r="CA80" s="21">
        <f t="shared" si="489"/>
        <v>0</v>
      </c>
      <c r="CB80" s="21">
        <f t="shared" si="489"/>
        <v>0</v>
      </c>
      <c r="CC80" s="21">
        <f t="shared" si="489"/>
        <v>0</v>
      </c>
      <c r="CD80" s="21">
        <f t="shared" si="489"/>
        <v>0</v>
      </c>
      <c r="CE80" s="21">
        <f t="shared" si="489"/>
        <v>0</v>
      </c>
      <c r="CF80" s="21">
        <f t="shared" si="489"/>
        <v>0</v>
      </c>
      <c r="CH80" s="314">
        <f>CH81</f>
        <v>0</v>
      </c>
    </row>
    <row r="81" spans="1:110" ht="15" thickBot="1">
      <c r="A81" s="19" t="s">
        <v>156</v>
      </c>
      <c r="B81" s="5" t="s">
        <v>207</v>
      </c>
      <c r="D81" s="57">
        <v>0</v>
      </c>
      <c r="E81" s="5"/>
      <c r="F81" s="38">
        <v>0</v>
      </c>
      <c r="G81" s="38">
        <v>0</v>
      </c>
      <c r="H81" s="38">
        <v>0</v>
      </c>
      <c r="I81" s="38"/>
      <c r="J81" s="38"/>
      <c r="K81" s="38"/>
      <c r="L81" s="38"/>
      <c r="M81" s="157"/>
      <c r="N81" s="157"/>
      <c r="O81" s="157"/>
      <c r="P81" s="157"/>
      <c r="Q81" s="157"/>
      <c r="R81" s="157"/>
      <c r="S81" s="157"/>
      <c r="T81" s="5"/>
      <c r="U81" s="157"/>
      <c r="V81" s="157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5"/>
      <c r="AH81" s="38"/>
      <c r="AI81" s="38"/>
      <c r="AJ81" s="38">
        <v>0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S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H81" s="38">
        <v>0</v>
      </c>
      <c r="BI81" s="38">
        <v>0</v>
      </c>
      <c r="BJ81" s="38">
        <v>0</v>
      </c>
      <c r="BK81" s="38">
        <v>0</v>
      </c>
      <c r="BL81" s="38">
        <v>0</v>
      </c>
      <c r="BM81" s="38">
        <v>0</v>
      </c>
      <c r="BN81" s="38">
        <v>0</v>
      </c>
      <c r="BO81" s="38">
        <v>0</v>
      </c>
      <c r="BP81" s="38">
        <v>0</v>
      </c>
      <c r="BQ81" s="38">
        <v>0</v>
      </c>
      <c r="BR81" s="38">
        <v>0</v>
      </c>
      <c r="BS81" s="38">
        <v>0</v>
      </c>
      <c r="BU81" s="38">
        <v>0</v>
      </c>
      <c r="BV81" s="38">
        <v>0</v>
      </c>
      <c r="BW81" s="38">
        <v>0</v>
      </c>
      <c r="BX81" s="38">
        <v>0</v>
      </c>
      <c r="BY81" s="38">
        <v>0</v>
      </c>
      <c r="BZ81" s="38">
        <v>0</v>
      </c>
      <c r="CA81" s="38">
        <v>0</v>
      </c>
      <c r="CB81" s="38">
        <v>0</v>
      </c>
      <c r="CC81" s="38">
        <v>0</v>
      </c>
      <c r="CD81" s="38">
        <v>0</v>
      </c>
      <c r="CE81" s="38">
        <v>0</v>
      </c>
      <c r="CF81" s="38">
        <v>0</v>
      </c>
      <c r="CH81" s="315">
        <v>0</v>
      </c>
      <c r="CI81" s="315">
        <v>0</v>
      </c>
      <c r="CJ81" s="315">
        <v>0</v>
      </c>
      <c r="CK81" s="315">
        <v>0</v>
      </c>
      <c r="CL81" s="315">
        <v>0</v>
      </c>
      <c r="CM81" s="315">
        <v>0</v>
      </c>
      <c r="CN81" s="315">
        <v>0</v>
      </c>
      <c r="CO81" s="315">
        <v>0</v>
      </c>
      <c r="CP81" s="315">
        <v>0</v>
      </c>
      <c r="CQ81" s="315">
        <v>0</v>
      </c>
      <c r="CR81" s="315">
        <v>0</v>
      </c>
      <c r="CS81" s="315">
        <v>0</v>
      </c>
      <c r="CU81" s="337">
        <v>0</v>
      </c>
      <c r="CV81" s="337">
        <v>0</v>
      </c>
      <c r="CW81" s="337">
        <v>0</v>
      </c>
      <c r="CX81" s="337">
        <v>0</v>
      </c>
      <c r="CY81" s="337">
        <v>0</v>
      </c>
      <c r="CZ81" s="337">
        <v>0</v>
      </c>
      <c r="DA81" s="337">
        <v>0</v>
      </c>
      <c r="DB81" s="337">
        <v>0</v>
      </c>
      <c r="DC81" s="337">
        <v>0</v>
      </c>
      <c r="DD81" s="337">
        <v>0</v>
      </c>
      <c r="DE81" s="337">
        <v>0</v>
      </c>
      <c r="DF81" s="337">
        <v>0</v>
      </c>
    </row>
    <row r="82" spans="1:110" ht="15.75" thickBot="1">
      <c r="A82" s="16">
        <v>5</v>
      </c>
      <c r="B82" s="10" t="s">
        <v>210</v>
      </c>
      <c r="C82">
        <f>C83</f>
        <v>0</v>
      </c>
      <c r="D82" s="21">
        <f>D83</f>
        <v>0</v>
      </c>
      <c r="E82" s="21">
        <f t="shared" si="483"/>
        <v>0</v>
      </c>
      <c r="F82" s="21">
        <f>F83</f>
        <v>0</v>
      </c>
      <c r="G82" s="21">
        <f t="shared" si="484"/>
        <v>0</v>
      </c>
      <c r="H82" s="21">
        <f>H83</f>
        <v>0</v>
      </c>
      <c r="I82" s="21">
        <f t="shared" si="484"/>
        <v>0</v>
      </c>
      <c r="J82" s="21">
        <f t="shared" si="484"/>
        <v>0</v>
      </c>
      <c r="K82" s="21">
        <f t="shared" si="484"/>
        <v>0</v>
      </c>
      <c r="L82" s="21">
        <f t="shared" si="484"/>
        <v>0</v>
      </c>
      <c r="M82" s="21">
        <f t="shared" si="484"/>
        <v>0</v>
      </c>
      <c r="N82" s="21">
        <f t="shared" si="484"/>
        <v>0</v>
      </c>
      <c r="O82" s="21">
        <f t="shared" si="484"/>
        <v>0</v>
      </c>
      <c r="P82" s="21">
        <f t="shared" si="484"/>
        <v>0</v>
      </c>
      <c r="Q82" s="21">
        <f t="shared" si="484"/>
        <v>0</v>
      </c>
      <c r="R82" s="21">
        <f t="shared" si="484"/>
        <v>0</v>
      </c>
      <c r="S82" s="21">
        <f t="shared" si="484"/>
        <v>0</v>
      </c>
      <c r="T82" s="5"/>
      <c r="U82" s="21">
        <f>U83</f>
        <v>0</v>
      </c>
      <c r="V82" s="21">
        <f t="shared" si="485"/>
        <v>0</v>
      </c>
      <c r="W82" s="21">
        <f t="shared" si="485"/>
        <v>0</v>
      </c>
      <c r="X82" s="21">
        <f t="shared" si="485"/>
        <v>0</v>
      </c>
      <c r="Y82" s="21">
        <f t="shared" si="485"/>
        <v>0</v>
      </c>
      <c r="Z82" s="21">
        <f t="shared" si="485"/>
        <v>0</v>
      </c>
      <c r="AA82" s="21">
        <f t="shared" si="485"/>
        <v>0</v>
      </c>
      <c r="AB82" s="21">
        <f t="shared" si="485"/>
        <v>0</v>
      </c>
      <c r="AC82" s="21">
        <f t="shared" si="485"/>
        <v>0</v>
      </c>
      <c r="AD82" s="21">
        <f t="shared" si="485"/>
        <v>0</v>
      </c>
      <c r="AE82" s="21">
        <f t="shared" si="485"/>
        <v>0</v>
      </c>
      <c r="AF82" s="21">
        <f t="shared" si="485"/>
        <v>0</v>
      </c>
      <c r="AG82" s="5"/>
      <c r="AH82" s="21">
        <f>AH83</f>
        <v>0</v>
      </c>
      <c r="AI82" s="21">
        <f t="shared" si="486"/>
        <v>0</v>
      </c>
      <c r="AJ82" s="21">
        <f t="shared" si="486"/>
        <v>0</v>
      </c>
      <c r="AK82" s="21">
        <f t="shared" si="486"/>
        <v>0</v>
      </c>
      <c r="AL82" s="21">
        <f t="shared" si="486"/>
        <v>0</v>
      </c>
      <c r="AM82" s="21">
        <f t="shared" si="486"/>
        <v>0</v>
      </c>
      <c r="AN82" s="21">
        <f t="shared" si="486"/>
        <v>0</v>
      </c>
      <c r="AO82" s="21">
        <f t="shared" si="486"/>
        <v>0</v>
      </c>
      <c r="AP82" s="21">
        <f t="shared" si="486"/>
        <v>0</v>
      </c>
      <c r="AQ82" s="21">
        <f t="shared" si="486"/>
        <v>0</v>
      </c>
      <c r="AR82" s="21">
        <f t="shared" si="486"/>
        <v>0</v>
      </c>
      <c r="AS82" s="21">
        <f t="shared" si="486"/>
        <v>0</v>
      </c>
      <c r="AU82" s="21">
        <f>AU83</f>
        <v>0</v>
      </c>
      <c r="AV82" s="21">
        <f t="shared" si="487"/>
        <v>0</v>
      </c>
      <c r="AW82" s="21">
        <f t="shared" si="487"/>
        <v>0</v>
      </c>
      <c r="AX82" s="21">
        <f t="shared" si="487"/>
        <v>0</v>
      </c>
      <c r="AY82" s="21">
        <f t="shared" si="487"/>
        <v>0</v>
      </c>
      <c r="AZ82" s="21">
        <f t="shared" si="487"/>
        <v>0</v>
      </c>
      <c r="BA82" s="21">
        <f t="shared" si="487"/>
        <v>0</v>
      </c>
      <c r="BB82" s="21">
        <f t="shared" si="487"/>
        <v>0</v>
      </c>
      <c r="BC82" s="21">
        <f t="shared" si="487"/>
        <v>0</v>
      </c>
      <c r="BD82" s="21">
        <f t="shared" si="487"/>
        <v>0</v>
      </c>
      <c r="BE82" s="21">
        <f t="shared" si="487"/>
        <v>0</v>
      </c>
      <c r="BF82" s="21">
        <f t="shared" si="487"/>
        <v>0</v>
      </c>
      <c r="BH82" s="21">
        <f>BH83</f>
        <v>0</v>
      </c>
      <c r="BI82" s="21">
        <f t="shared" si="488"/>
        <v>0</v>
      </c>
      <c r="BJ82" s="21">
        <f t="shared" si="488"/>
        <v>0</v>
      </c>
      <c r="BK82" s="21">
        <f t="shared" si="488"/>
        <v>0</v>
      </c>
      <c r="BL82" s="21">
        <f t="shared" si="488"/>
        <v>0</v>
      </c>
      <c r="BM82" s="21">
        <f t="shared" si="488"/>
        <v>0</v>
      </c>
      <c r="BN82" s="21">
        <f t="shared" si="488"/>
        <v>0</v>
      </c>
      <c r="BO82" s="21">
        <f t="shared" si="488"/>
        <v>0</v>
      </c>
      <c r="BP82" s="21">
        <f t="shared" si="488"/>
        <v>0</v>
      </c>
      <c r="BQ82" s="21">
        <f t="shared" si="488"/>
        <v>0</v>
      </c>
      <c r="BR82" s="21">
        <f t="shared" si="488"/>
        <v>0</v>
      </c>
      <c r="BS82" s="21">
        <f t="shared" si="488"/>
        <v>0</v>
      </c>
      <c r="BU82" s="21">
        <f>BU83</f>
        <v>0</v>
      </c>
      <c r="BV82" s="21">
        <f t="shared" si="489"/>
        <v>0</v>
      </c>
      <c r="BW82" s="21">
        <f t="shared" si="489"/>
        <v>0</v>
      </c>
      <c r="BX82" s="21">
        <f t="shared" si="489"/>
        <v>0</v>
      </c>
      <c r="BY82" s="21">
        <f t="shared" si="489"/>
        <v>0</v>
      </c>
      <c r="BZ82" s="21">
        <f t="shared" si="489"/>
        <v>0</v>
      </c>
      <c r="CA82" s="21">
        <f t="shared" si="489"/>
        <v>0</v>
      </c>
      <c r="CB82" s="21">
        <f t="shared" si="489"/>
        <v>0</v>
      </c>
      <c r="CC82" s="21">
        <f t="shared" si="489"/>
        <v>0</v>
      </c>
      <c r="CD82" s="21">
        <f t="shared" si="489"/>
        <v>0</v>
      </c>
      <c r="CE82" s="21">
        <f t="shared" si="489"/>
        <v>0</v>
      </c>
      <c r="CF82" s="21">
        <f t="shared" si="489"/>
        <v>0</v>
      </c>
      <c r="CH82" s="314">
        <f>CH83</f>
        <v>0</v>
      </c>
    </row>
    <row r="83" spans="1:110" ht="15" thickBot="1">
      <c r="A83" s="19" t="s">
        <v>208</v>
      </c>
      <c r="B83" s="5" t="s">
        <v>209</v>
      </c>
      <c r="D83" s="57">
        <v>0</v>
      </c>
      <c r="E83" s="5"/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5"/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0</v>
      </c>
      <c r="AF83" s="38">
        <v>0</v>
      </c>
      <c r="AG83" s="5"/>
      <c r="AH83" s="38">
        <v>0</v>
      </c>
      <c r="AI83" s="38">
        <v>0</v>
      </c>
      <c r="AJ83" s="38">
        <v>0</v>
      </c>
      <c r="AK83" s="38">
        <v>0</v>
      </c>
      <c r="AL83" s="38">
        <v>0</v>
      </c>
      <c r="AM83" s="38">
        <v>0</v>
      </c>
      <c r="AN83" s="38">
        <v>0</v>
      </c>
      <c r="AO83" s="38">
        <v>0</v>
      </c>
      <c r="AP83" s="38">
        <v>0</v>
      </c>
      <c r="AQ83" s="38">
        <v>0</v>
      </c>
      <c r="AR83" s="38">
        <v>0</v>
      </c>
      <c r="AS83" s="38">
        <v>0</v>
      </c>
      <c r="AU83" s="38">
        <v>0</v>
      </c>
      <c r="AV83" s="38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H83" s="38">
        <v>0</v>
      </c>
      <c r="BI83" s="38">
        <v>0</v>
      </c>
      <c r="BJ83" s="38">
        <v>0</v>
      </c>
      <c r="BK83" s="38">
        <v>0</v>
      </c>
      <c r="BL83" s="38">
        <v>0</v>
      </c>
      <c r="BM83" s="38">
        <v>0</v>
      </c>
      <c r="BN83" s="38">
        <v>0</v>
      </c>
      <c r="BO83" s="38">
        <v>0</v>
      </c>
      <c r="BP83" s="38">
        <v>0</v>
      </c>
      <c r="BQ83" s="38">
        <v>0</v>
      </c>
      <c r="BR83" s="38">
        <v>0</v>
      </c>
      <c r="BS83" s="38">
        <v>0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0</v>
      </c>
      <c r="CA83" s="38">
        <v>0</v>
      </c>
      <c r="CB83" s="38">
        <v>0</v>
      </c>
      <c r="CC83" s="38">
        <v>0</v>
      </c>
      <c r="CD83" s="38">
        <v>0</v>
      </c>
      <c r="CE83" s="38">
        <v>0</v>
      </c>
      <c r="CF83" s="38">
        <v>0</v>
      </c>
      <c r="CH83" s="315">
        <v>0</v>
      </c>
      <c r="CI83" s="315">
        <v>0</v>
      </c>
      <c r="CJ83" s="315">
        <v>0</v>
      </c>
      <c r="CK83" s="315">
        <v>0</v>
      </c>
      <c r="CL83" s="315">
        <v>0</v>
      </c>
      <c r="CM83" s="315">
        <v>0</v>
      </c>
      <c r="CN83" s="315">
        <v>0</v>
      </c>
      <c r="CO83" s="315">
        <v>0</v>
      </c>
      <c r="CP83" s="315">
        <v>0</v>
      </c>
      <c r="CQ83" s="315">
        <v>0</v>
      </c>
      <c r="CR83" s="315">
        <v>0</v>
      </c>
      <c r="CS83" s="315">
        <v>0</v>
      </c>
      <c r="CU83" s="313" t="s">
        <v>591</v>
      </c>
      <c r="CV83" s="313" t="s">
        <v>591</v>
      </c>
      <c r="CW83" s="313" t="s">
        <v>591</v>
      </c>
      <c r="CX83" s="313" t="s">
        <v>591</v>
      </c>
      <c r="CY83" s="313" t="s">
        <v>591</v>
      </c>
      <c r="CZ83" s="313" t="s">
        <v>591</v>
      </c>
      <c r="DA83" s="313" t="s">
        <v>591</v>
      </c>
      <c r="DB83" s="313" t="s">
        <v>591</v>
      </c>
      <c r="DC83" s="313" t="s">
        <v>591</v>
      </c>
      <c r="DD83" s="313" t="s">
        <v>591</v>
      </c>
      <c r="DE83" s="313" t="s">
        <v>591</v>
      </c>
      <c r="DF83" s="313" t="s">
        <v>591</v>
      </c>
    </row>
    <row r="84" spans="1:110" ht="15" thickBot="1">
      <c r="A84" s="19"/>
      <c r="B84" s="5"/>
      <c r="C84">
        <v>0</v>
      </c>
      <c r="D84" s="19">
        <v>1</v>
      </c>
      <c r="E84" s="19">
        <v>2</v>
      </c>
      <c r="F84" s="19">
        <v>3</v>
      </c>
      <c r="G84" s="19">
        <v>4</v>
      </c>
      <c r="H84" s="19">
        <v>5</v>
      </c>
      <c r="I84" s="19">
        <v>6</v>
      </c>
      <c r="J84" s="19">
        <v>7</v>
      </c>
      <c r="K84" s="19">
        <v>8</v>
      </c>
      <c r="L84" s="19">
        <v>9</v>
      </c>
      <c r="M84" s="19">
        <v>10</v>
      </c>
      <c r="N84" s="19">
        <v>11</v>
      </c>
      <c r="O84" s="19">
        <v>12</v>
      </c>
      <c r="P84" s="19">
        <v>13</v>
      </c>
      <c r="Q84" s="19">
        <v>14</v>
      </c>
      <c r="R84" s="19">
        <v>15</v>
      </c>
      <c r="S84" s="19">
        <v>16</v>
      </c>
      <c r="T84" s="5"/>
      <c r="U84" s="19">
        <v>17</v>
      </c>
      <c r="V84" s="19">
        <v>18</v>
      </c>
      <c r="W84" s="19">
        <v>19</v>
      </c>
      <c r="X84" s="19">
        <v>20</v>
      </c>
      <c r="Y84" s="19">
        <v>21</v>
      </c>
      <c r="Z84" s="19">
        <v>22</v>
      </c>
      <c r="AA84" s="19">
        <v>23</v>
      </c>
      <c r="AB84" s="19">
        <v>24</v>
      </c>
      <c r="AC84" s="19">
        <v>25</v>
      </c>
      <c r="AD84" s="19">
        <v>26</v>
      </c>
      <c r="AE84" s="19">
        <v>27</v>
      </c>
      <c r="AF84" s="19">
        <v>28</v>
      </c>
      <c r="AG84" s="5"/>
      <c r="AH84" s="19">
        <v>29</v>
      </c>
      <c r="AI84" s="19">
        <v>30</v>
      </c>
      <c r="AJ84" s="19">
        <v>31</v>
      </c>
      <c r="AK84" s="19">
        <v>32</v>
      </c>
      <c r="AL84" s="19">
        <v>33</v>
      </c>
      <c r="AM84" s="19">
        <v>34</v>
      </c>
      <c r="AN84" s="19">
        <v>35</v>
      </c>
      <c r="AO84" s="19">
        <v>36</v>
      </c>
      <c r="AP84" s="19">
        <v>37</v>
      </c>
      <c r="AQ84" s="19">
        <v>38</v>
      </c>
      <c r="AR84" s="19">
        <v>39</v>
      </c>
      <c r="AS84" s="19">
        <v>40</v>
      </c>
      <c r="AU84" s="19">
        <v>41</v>
      </c>
      <c r="AV84" s="19">
        <v>42</v>
      </c>
      <c r="AW84" s="19">
        <v>43</v>
      </c>
      <c r="AX84" s="19">
        <v>44</v>
      </c>
      <c r="AY84" s="19">
        <v>45</v>
      </c>
      <c r="AZ84" s="19">
        <v>46</v>
      </c>
      <c r="BA84" s="19">
        <v>47</v>
      </c>
      <c r="BB84" s="19">
        <v>48</v>
      </c>
      <c r="BC84" s="19">
        <v>49</v>
      </c>
      <c r="BD84" s="19">
        <v>50</v>
      </c>
      <c r="BE84" s="19">
        <v>51</v>
      </c>
      <c r="BF84" s="19">
        <v>52</v>
      </c>
      <c r="BH84" s="19">
        <v>53</v>
      </c>
      <c r="BI84" s="19">
        <v>54</v>
      </c>
      <c r="BJ84" s="19">
        <v>55</v>
      </c>
      <c r="BK84" s="19">
        <v>56</v>
      </c>
      <c r="BL84" s="19">
        <v>57</v>
      </c>
      <c r="BM84" s="19">
        <v>58</v>
      </c>
      <c r="BN84" s="19">
        <v>59</v>
      </c>
      <c r="BO84" s="19">
        <v>60</v>
      </c>
      <c r="BP84" s="19">
        <v>61</v>
      </c>
      <c r="BQ84" s="19">
        <v>62</v>
      </c>
      <c r="BR84" s="19">
        <v>63</v>
      </c>
      <c r="BS84" s="19">
        <v>64</v>
      </c>
      <c r="BU84" s="19">
        <v>65</v>
      </c>
      <c r="BV84" s="19">
        <v>66</v>
      </c>
      <c r="BW84" s="19">
        <v>67</v>
      </c>
      <c r="BX84" s="19">
        <v>68</v>
      </c>
      <c r="BY84" s="19">
        <v>69</v>
      </c>
      <c r="BZ84" s="19">
        <v>70</v>
      </c>
      <c r="CA84" s="19">
        <v>71</v>
      </c>
      <c r="CB84" s="19">
        <v>72</v>
      </c>
      <c r="CC84" s="19">
        <v>73</v>
      </c>
      <c r="CD84" s="19">
        <v>74</v>
      </c>
      <c r="CE84" s="19">
        <v>75</v>
      </c>
      <c r="CF84" s="19">
        <v>76</v>
      </c>
      <c r="CH84" s="310">
        <v>77</v>
      </c>
      <c r="CI84" s="310">
        <v>78</v>
      </c>
      <c r="CJ84" s="310">
        <v>79</v>
      </c>
      <c r="CK84" s="310">
        <v>80</v>
      </c>
      <c r="CL84" s="310">
        <v>81</v>
      </c>
      <c r="CM84" s="310">
        <v>82</v>
      </c>
      <c r="CN84" s="310">
        <v>83</v>
      </c>
      <c r="CO84" s="310">
        <v>84</v>
      </c>
      <c r="CP84" s="310">
        <v>85</v>
      </c>
      <c r="CQ84" s="310">
        <v>86</v>
      </c>
      <c r="CR84" s="310">
        <v>87</v>
      </c>
      <c r="CS84" s="310">
        <v>88</v>
      </c>
      <c r="CU84" s="310">
        <v>89</v>
      </c>
      <c r="CV84" s="310">
        <v>90</v>
      </c>
      <c r="CW84" s="310">
        <v>91</v>
      </c>
      <c r="CX84" s="310">
        <v>92</v>
      </c>
      <c r="CY84" s="310">
        <v>93</v>
      </c>
      <c r="CZ84" s="310">
        <v>94</v>
      </c>
      <c r="DA84" s="310">
        <v>95</v>
      </c>
      <c r="DB84" s="310">
        <v>96</v>
      </c>
      <c r="DC84" s="310">
        <v>97</v>
      </c>
      <c r="DD84" s="310">
        <v>98</v>
      </c>
      <c r="DE84" s="310">
        <v>99</v>
      </c>
      <c r="DF84" s="310">
        <v>100</v>
      </c>
    </row>
    <row r="85" spans="1:110" ht="15" thickBo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</row>
    <row r="86" spans="1:110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110" ht="15" thickBo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110" ht="15" thickBo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</row>
    <row r="89" spans="1:110" ht="15" thickBo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</row>
    <row r="90" spans="1:110" ht="15" thickBo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</row>
    <row r="91" spans="1:110" ht="15" thickBo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</row>
    <row r="92" spans="1:110" ht="15" thickBo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</row>
    <row r="93" spans="1:110" ht="15" thickBo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</row>
    <row r="94" spans="1:110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</row>
    <row r="95" spans="1:110" ht="15" thickBo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</row>
    <row r="96" spans="1:110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</row>
    <row r="97" spans="1:84" ht="15" thickBo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</row>
    <row r="98" spans="1:84" ht="15" thickBo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</row>
    <row r="99" spans="1:84" ht="15" thickBo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</row>
    <row r="100" spans="1:84" ht="15" thickBo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</row>
    <row r="101" spans="1:84" ht="15" thickBo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</row>
    <row r="102" spans="1:84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</row>
    <row r="103" spans="1:84" ht="15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</row>
    <row r="104" spans="1:84" ht="15" thickBo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</row>
    <row r="105" spans="1:84" ht="15" thickBo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</row>
    <row r="106" spans="1:84" ht="15" thickBo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</row>
    <row r="107" spans="1:84" ht="15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</row>
    <row r="108" spans="1:84" ht="15" thickBo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</row>
    <row r="109" spans="1:84" ht="15" thickBo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</row>
    <row r="110" spans="1:84" ht="15" thickBo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</row>
    <row r="111" spans="1:84" ht="15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</row>
    <row r="112" spans="1:84" ht="15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</row>
    <row r="113" spans="1:84" ht="15" thickBo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</row>
    <row r="114" spans="1:84" ht="15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</row>
    <row r="115" spans="1:84" ht="15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</row>
    <row r="116" spans="1:84" ht="15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</row>
    <row r="117" spans="1:84" ht="15" thickBo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</row>
    <row r="118" spans="1:84" ht="15" thickBo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</row>
    <row r="119" spans="1:84" ht="15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</row>
    <row r="120" spans="1:84" ht="15" thickBo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</row>
    <row r="121" spans="1:84" ht="15" thickBo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</row>
    <row r="122" spans="1:84" ht="15" thickBo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</row>
    <row r="123" spans="1:84" ht="15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</row>
    <row r="124" spans="1:84" ht="15" thickBo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</row>
    <row r="125" spans="1:84" ht="15" thickBo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</row>
    <row r="126" spans="1:84" ht="15" thickBo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</row>
    <row r="127" spans="1:84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</row>
    <row r="128" spans="1:84" ht="15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</row>
    <row r="129" spans="1:84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</row>
    <row r="130" spans="1:84" ht="15" thickBo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</row>
    <row r="131" spans="1:84" ht="15" thickBo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</row>
    <row r="132" spans="1:84" ht="15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</row>
    <row r="133" spans="1:84" ht="15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</row>
    <row r="134" spans="1:84" ht="15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</row>
    <row r="135" spans="1:84" ht="15" thickBo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</row>
    <row r="136" spans="1:84" ht="15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</row>
    <row r="137" spans="1:84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</row>
    <row r="138" spans="1:84" ht="15" thickBo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</row>
    <row r="139" spans="1:84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</row>
    <row r="140" spans="1:84" ht="15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</row>
    <row r="141" spans="1:84" ht="15" thickBo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</row>
    <row r="142" spans="1:84" ht="15" thickBo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</row>
    <row r="143" spans="1:84" ht="15" thickBo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</row>
    <row r="144" spans="1:84" ht="15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</row>
    <row r="145" spans="1:84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</row>
    <row r="146" spans="1:84" ht="15" thickBo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</row>
    <row r="147" spans="1:84" ht="15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</row>
    <row r="148" spans="1:84" ht="15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</row>
    <row r="149" spans="1:84" ht="15" thickBo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</row>
    <row r="150" spans="1:84" ht="15" thickBo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</row>
    <row r="151" spans="1:84" ht="15" thickBo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</row>
    <row r="152" spans="1:84" ht="15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</row>
    <row r="153" spans="1:84" ht="15" thickBo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</row>
    <row r="154" spans="1:84" ht="15" thickBo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</row>
    <row r="155" spans="1:84" ht="15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</row>
    <row r="156" spans="1:84" ht="15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</row>
    <row r="157" spans="1:84" ht="15" thickBo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</row>
    <row r="158" spans="1:84" ht="15" thickBo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</row>
    <row r="159" spans="1:84" ht="15" thickBo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</row>
    <row r="160" spans="1:84" ht="15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</row>
    <row r="161" spans="1:84" ht="15" thickBo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</row>
    <row r="162" spans="1:84" ht="15" thickBo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</row>
    <row r="163" spans="1:84" ht="15" thickBo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</row>
    <row r="164" spans="1:84" ht="1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</row>
    <row r="165" spans="1:84" ht="15" thickBo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</row>
    <row r="166" spans="1:84" ht="15" thickBo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</row>
    <row r="167" spans="1:84" ht="15" thickBo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</row>
    <row r="168" spans="1:84" ht="15" thickBo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</row>
    <row r="169" spans="1:84" ht="15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</row>
    <row r="170" spans="1:84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</row>
    <row r="171" spans="1:84" ht="15" thickBo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</row>
    <row r="172" spans="1:84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</row>
    <row r="173" spans="1:84" ht="15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</row>
    <row r="174" spans="1:84" ht="15" thickBo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</row>
    <row r="175" spans="1:84" ht="15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</row>
    <row r="176" spans="1:84" ht="15" thickBo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</row>
    <row r="177" spans="1:84" ht="15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</row>
    <row r="178" spans="1:84" ht="15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</row>
    <row r="179" spans="1:84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</row>
    <row r="180" spans="1:84" ht="15" thickBo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</row>
    <row r="181" spans="1:84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</row>
    <row r="182" spans="1:84" ht="15" thickBo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</row>
    <row r="183" spans="1:84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</row>
    <row r="184" spans="1:84" ht="15" thickBo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</row>
    <row r="185" spans="1:84" ht="15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</row>
    <row r="186" spans="1:84" ht="15" thickBo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</row>
    <row r="187" spans="1:84" ht="15" thickBo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</row>
    <row r="188" spans="1:84" ht="15" thickBo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</row>
    <row r="189" spans="1:84" ht="1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</row>
    <row r="190" spans="1:84" ht="15" thickBo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</row>
    <row r="191" spans="1:84" ht="15" thickBo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</row>
    <row r="192" spans="1:84" ht="15" thickBo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</row>
    <row r="193" spans="1:84" ht="15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</row>
    <row r="194" spans="1:84" ht="15" thickBo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</row>
    <row r="195" spans="1:84" ht="15" thickBo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</row>
    <row r="196" spans="1:84" ht="15" thickBo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</row>
    <row r="197" spans="1:84" ht="1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</row>
    <row r="198" spans="1:84" ht="15" thickBo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</row>
    <row r="199" spans="1:84" ht="15" thickBo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</row>
    <row r="200" spans="1:84" ht="15" thickBo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</row>
    <row r="201" spans="1:84" ht="15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</row>
    <row r="202" spans="1:84" ht="15" thickBo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</row>
    <row r="203" spans="1:84" ht="15" thickBo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</row>
    <row r="204" spans="1:84" ht="15" thickBo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</row>
    <row r="205" spans="1:84" ht="15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</row>
    <row r="206" spans="1:84" ht="15" thickBo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</row>
    <row r="207" spans="1:84" ht="15" thickBo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</row>
    <row r="208" spans="1:84" ht="15" thickBo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</row>
    <row r="209" spans="1:84" ht="15" thickBo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</row>
    <row r="210" spans="1:84" ht="1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</row>
    <row r="211" spans="1:84" ht="1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</row>
    <row r="212" spans="1:84" ht="15" thickBo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</row>
    <row r="213" spans="1:8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</row>
    <row r="214" spans="1:84" ht="15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</row>
    <row r="215" spans="1:8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</row>
    <row r="216" spans="1:84" ht="15" thickBo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</row>
    <row r="217" spans="1:84" ht="15" thickBo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</row>
    <row r="218" spans="1:84" ht="15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</row>
    <row r="219" spans="1:84" ht="15" thickBo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</row>
    <row r="220" spans="1:84" ht="15" thickBo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</row>
    <row r="221" spans="1:84" ht="15" thickBo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</row>
    <row r="222" spans="1:84" ht="15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</row>
    <row r="223" spans="1:84" ht="15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</row>
    <row r="224" spans="1:84" ht="15" thickBo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</row>
    <row r="225" spans="1:84" ht="15" thickBo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</row>
    <row r="226" spans="1:84" ht="1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</row>
    <row r="227" spans="1:84" ht="15" thickBo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</row>
    <row r="228" spans="1:84" ht="15" thickBo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</row>
    <row r="229" spans="1:84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</row>
    <row r="230" spans="1:84" ht="15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</row>
    <row r="231" spans="1:84" ht="15" thickBo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</row>
    <row r="232" spans="1:84" ht="15" thickBo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</row>
    <row r="233" spans="1:84" ht="15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</row>
    <row r="234" spans="1:84" ht="15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</row>
    <row r="235" spans="1:84" ht="15" thickBo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</row>
    <row r="236" spans="1:84" ht="15" thickBo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</row>
    <row r="237" spans="1:84" ht="15" thickBo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</row>
    <row r="238" spans="1:84" ht="15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</row>
    <row r="239" spans="1:84" ht="15" thickBo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</row>
    <row r="240" spans="1:84" ht="15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</row>
    <row r="241" spans="1:84" ht="15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</row>
    <row r="242" spans="1:84" ht="1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</row>
    <row r="243" spans="1:84" ht="1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</row>
    <row r="244" spans="1:84" ht="15" thickBo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</row>
    <row r="245" spans="1:84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</row>
    <row r="246" spans="1:84" ht="15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</row>
    <row r="247" spans="1:84" ht="15" thickBo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</row>
    <row r="248" spans="1:84" ht="15" thickBo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</row>
    <row r="249" spans="1:84" ht="15" thickBo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</row>
    <row r="250" spans="1:84" ht="15" thickBo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</row>
    <row r="251" spans="1:84" ht="15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</row>
    <row r="252" spans="1:84" ht="15" thickBo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</row>
    <row r="253" spans="1:84" ht="15" thickBo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</row>
    <row r="254" spans="1:8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</row>
    <row r="255" spans="1:84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</row>
    <row r="256" spans="1:8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</row>
    <row r="257" spans="1:84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</row>
    <row r="258" spans="1:84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</row>
    <row r="259" spans="1:84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</row>
    <row r="260" spans="1:84" ht="15" thickBo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</row>
    <row r="261" spans="1:84" ht="15" thickBo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</row>
    <row r="262" spans="1:84" ht="15" thickBo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</row>
    <row r="263" spans="1:84" ht="15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</row>
    <row r="264" spans="1:84" ht="15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</row>
    <row r="265" spans="1:84" ht="15" thickBo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</row>
    <row r="266" spans="1:84" ht="15" thickBo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</row>
    <row r="267" spans="1:84" ht="15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</row>
    <row r="268" spans="1:84" ht="15" thickBo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</row>
    <row r="269" spans="1:84" ht="15" thickBo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</row>
    <row r="270" spans="1:84" ht="15" thickBo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</row>
    <row r="271" spans="1:84" ht="15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</row>
    <row r="272" spans="1:84" ht="15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</row>
    <row r="273" spans="1:84" ht="15" thickBo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</row>
    <row r="274" spans="1:84" ht="15" thickBo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</row>
    <row r="275" spans="1:84" ht="15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</row>
    <row r="276" spans="1:84" ht="15" thickBo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</row>
    <row r="277" spans="1:84" ht="15" thickBo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</row>
    <row r="278" spans="1:84" ht="15" thickBo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</row>
    <row r="279" spans="1:84" ht="15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</row>
    <row r="280" spans="1:84" ht="15" thickBo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</row>
    <row r="281" spans="1:84" ht="15" thickBo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</row>
    <row r="282" spans="1:84" ht="15" thickBo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</row>
    <row r="283" spans="1:84" ht="15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</row>
    <row r="284" spans="1:84" ht="15" thickBo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</row>
    <row r="285" spans="1:84" ht="15" thickBo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</row>
    <row r="286" spans="1:84" ht="15" thickBo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</row>
    <row r="287" spans="1:84" ht="1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</row>
    <row r="288" spans="1:84" ht="15" thickBo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</row>
    <row r="289" spans="1:84" ht="15" thickBo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</row>
    <row r="290" spans="1:84" ht="15" thickBo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</row>
    <row r="291" spans="1:84" ht="15" thickBo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</row>
    <row r="292" spans="1:84" ht="15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</row>
    <row r="293" spans="1:84" ht="15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</row>
    <row r="294" spans="1:84" ht="15" thickBo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</row>
    <row r="295" spans="1:84" ht="15" thickBo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</row>
    <row r="296" spans="1:84" ht="15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</row>
    <row r="297" spans="1:84" ht="15" thickBo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</row>
    <row r="298" spans="1:84" ht="15" thickBo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</row>
    <row r="299" spans="1:84" ht="15" thickBo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</row>
    <row r="300" spans="1:84" ht="1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</row>
    <row r="301" spans="1:84" ht="15" thickBo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</row>
    <row r="302" spans="1:84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</row>
    <row r="303" spans="1:84" ht="15" thickBo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</row>
    <row r="304" spans="1:84" ht="15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</row>
    <row r="305" spans="1:84" ht="15" thickBo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</row>
    <row r="306" spans="1:84" ht="15" thickBo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</row>
    <row r="307" spans="1:84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</row>
    <row r="308" spans="1:84" ht="15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</row>
    <row r="309" spans="1:84" ht="15" thickBo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</row>
    <row r="310" spans="1:84" ht="15" thickBo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</row>
    <row r="311" spans="1:84" ht="15" thickBo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</row>
    <row r="312" spans="1:84" ht="15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</row>
    <row r="313" spans="1:84" ht="15" thickBo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</row>
    <row r="314" spans="1:84" ht="15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</row>
    <row r="315" spans="1:84" ht="15" thickBo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</row>
    <row r="316" spans="1:84" ht="15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</row>
    <row r="317" spans="1:84" ht="15" thickBo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</row>
    <row r="318" spans="1:84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</row>
    <row r="319" spans="1:84" ht="15" thickBo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</row>
    <row r="320" spans="1:84" ht="15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</row>
    <row r="321" spans="1:84" ht="15" thickBo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</row>
    <row r="322" spans="1:84" ht="15" thickBo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</row>
    <row r="323" spans="1:84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</row>
    <row r="324" spans="1:84" ht="1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</row>
    <row r="325" spans="1:84" ht="15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</row>
    <row r="326" spans="1:84" ht="15" thickBo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</row>
    <row r="327" spans="1:84" ht="15" thickBo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</row>
    <row r="328" spans="1:84" ht="15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</row>
    <row r="329" spans="1:84" ht="15" thickBo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</row>
    <row r="330" spans="1:84" ht="15" thickBo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</row>
    <row r="331" spans="1:84" ht="15" thickBo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</row>
    <row r="332" spans="1:84" ht="15" thickBo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</row>
    <row r="333" spans="1:84" ht="15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</row>
    <row r="334" spans="1:84" ht="15" thickBo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</row>
    <row r="335" spans="1:84" ht="15" thickBo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</row>
    <row r="336" spans="1:84" ht="15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</row>
    <row r="337" spans="1:84" ht="15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</row>
    <row r="338" spans="1:84" ht="15" thickBo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</row>
    <row r="339" spans="1:84" ht="15" thickBo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</row>
    <row r="340" spans="1:84" ht="15" thickBo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</row>
    <row r="341" spans="1:84" ht="15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</row>
    <row r="342" spans="1:84" ht="15" thickBo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</row>
    <row r="343" spans="1:84" ht="15" thickBo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</row>
    <row r="344" spans="1:84" ht="15" thickBo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</row>
    <row r="345" spans="1:84" ht="15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</row>
    <row r="346" spans="1:84" ht="15" thickBo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</row>
    <row r="347" spans="1:84" ht="15" thickBo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</row>
    <row r="348" spans="1:84" ht="15" thickBo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</row>
    <row r="349" spans="1:84" ht="15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</row>
    <row r="350" spans="1:84" ht="15" thickBo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</row>
    <row r="351" spans="1:84" ht="15" thickBo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</row>
    <row r="352" spans="1:84" ht="15" thickBo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</row>
    <row r="353" spans="1:84" ht="15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</row>
    <row r="354" spans="1:84" ht="15" thickBo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</row>
    <row r="355" spans="1:84" ht="15" thickBo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</row>
    <row r="356" spans="1:84" ht="15" thickBo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</row>
    <row r="357" spans="1:84" ht="15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</row>
    <row r="358" spans="1:84" ht="15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</row>
    <row r="359" spans="1:84" ht="15" thickBo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</row>
    <row r="360" spans="1:84" ht="15" thickBo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</row>
    <row r="361" spans="1:84" ht="15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</row>
    <row r="362" spans="1:84" ht="15" thickBo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</row>
    <row r="363" spans="1:84" ht="15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</row>
    <row r="364" spans="1:84" ht="15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</row>
    <row r="365" spans="1:84" ht="15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</row>
    <row r="366" spans="1:84" ht="15" thickBo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</row>
    <row r="367" spans="1:84" ht="15" thickBo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</row>
    <row r="368" spans="1:84" ht="15" thickBo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</row>
    <row r="369" spans="1:84" ht="15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</row>
    <row r="370" spans="1:84" ht="15" thickBo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</row>
    <row r="371" spans="1:84" ht="15" thickBo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</row>
    <row r="372" spans="1:84" ht="15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</row>
    <row r="373" spans="1:84" ht="15" thickBo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</row>
    <row r="374" spans="1:84" ht="1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</row>
    <row r="375" spans="1:84" ht="15" thickBo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</row>
    <row r="376" spans="1:84" ht="15" thickBo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</row>
    <row r="377" spans="1:84" ht="15" thickBo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</row>
    <row r="378" spans="1:84" ht="15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</row>
    <row r="379" spans="1:84" ht="15" thickBo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</row>
    <row r="380" spans="1:84" ht="15" thickBo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</row>
    <row r="381" spans="1:84" ht="15" thickBo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</row>
    <row r="382" spans="1:84" ht="15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</row>
    <row r="383" spans="1:84" ht="15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</row>
    <row r="384" spans="1:84" ht="15" thickBo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</row>
    <row r="385" spans="1:84" ht="15" thickBo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</row>
    <row r="386" spans="1:84" ht="15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</row>
    <row r="387" spans="1:84" ht="15" thickBo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</row>
    <row r="388" spans="1:84" ht="15" thickBo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</row>
    <row r="389" spans="1:84" ht="15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</row>
    <row r="390" spans="1:84" ht="15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</row>
    <row r="391" spans="1:84" ht="15" thickBo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</row>
    <row r="392" spans="1:84" ht="15" thickBo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</row>
    <row r="393" spans="1:84" ht="15" thickBo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</row>
    <row r="394" spans="1:84" ht="15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</row>
    <row r="395" spans="1:84" ht="15" thickBo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</row>
    <row r="396" spans="1:84" ht="15" thickBo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</row>
    <row r="397" spans="1:84" ht="15" thickBo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</row>
    <row r="398" spans="1:84" ht="15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</row>
    <row r="399" spans="1:84" ht="15" thickBo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</row>
    <row r="400" spans="1:84" ht="15" thickBo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</row>
    <row r="401" spans="1:84" ht="15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</row>
    <row r="402" spans="1:84" ht="15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</row>
    <row r="403" spans="1:84" ht="15" thickBo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</row>
    <row r="404" spans="1:84" ht="15" thickBo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</row>
    <row r="405" spans="1:84" ht="15" thickBo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</row>
    <row r="406" spans="1:84" ht="15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</row>
    <row r="407" spans="1:84" ht="15" thickBo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</row>
    <row r="408" spans="1:84" ht="15" thickBo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</row>
    <row r="409" spans="1:84" ht="15" thickBo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</row>
    <row r="410" spans="1:84" ht="15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</row>
    <row r="411" spans="1:84" ht="15" thickBo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</row>
    <row r="412" spans="1:84" ht="15" thickBo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</row>
    <row r="413" spans="1:84" ht="15" thickBo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</row>
    <row r="414" spans="1:84" ht="15" thickBo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</row>
    <row r="415" spans="1:84" ht="15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</row>
    <row r="416" spans="1:84" ht="15" thickBo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</row>
    <row r="417" spans="1:84" ht="15" thickBo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</row>
    <row r="418" spans="1:84" ht="15" thickBo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</row>
    <row r="419" spans="1:84" ht="15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</row>
    <row r="420" spans="1:84" ht="15" thickBo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</row>
    <row r="421" spans="1:84" ht="15" thickBo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</row>
    <row r="422" spans="1:84" ht="15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</row>
    <row r="423" spans="1:84" ht="1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</row>
    <row r="424" spans="1:84" ht="15" thickBo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</row>
    <row r="425" spans="1:84" ht="15" thickBo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</row>
    <row r="426" spans="1:84" ht="15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</row>
    <row r="427" spans="1:84" ht="15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</row>
    <row r="428" spans="1:84" ht="15" thickBo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</row>
    <row r="429" spans="1:84" ht="15" thickBo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</row>
    <row r="430" spans="1:84" ht="15" thickBo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</row>
    <row r="431" spans="1:84" ht="15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</row>
    <row r="432" spans="1:84" ht="15" thickBo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</row>
    <row r="433" spans="1:84" ht="15" thickBo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</row>
    <row r="434" spans="1:84" ht="15" thickBo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</row>
    <row r="435" spans="1:84" ht="1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</row>
    <row r="436" spans="1:84" ht="15" thickBo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</row>
    <row r="437" spans="1:84" ht="15" thickBo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</row>
    <row r="438" spans="1:84" ht="15" thickBo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</row>
    <row r="439" spans="1:84" ht="1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</row>
    <row r="440" spans="1:84" ht="15" thickBo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</row>
    <row r="441" spans="1:84" ht="15" thickBo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</row>
    <row r="442" spans="1:84" ht="15" thickBo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</row>
    <row r="443" spans="1:84" ht="15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</row>
    <row r="444" spans="1:84" ht="15" thickBo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</row>
    <row r="445" spans="1:84" ht="15" thickBo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</row>
    <row r="446" spans="1:84" ht="15" thickBo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</row>
    <row r="447" spans="1:84" ht="15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</row>
    <row r="448" spans="1:84" ht="15" thickBo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</row>
    <row r="449" spans="1:84" ht="15" thickBo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</row>
    <row r="450" spans="1:84" ht="15" thickBo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</row>
    <row r="451" spans="1:84" ht="15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</row>
    <row r="452" spans="1:84" ht="15" thickBo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</row>
    <row r="453" spans="1:84" ht="15" thickBo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</row>
    <row r="454" spans="1:84" ht="15" thickBo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</row>
    <row r="455" spans="1:84" ht="15" thickBo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</row>
    <row r="456" spans="1:84" ht="15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</row>
    <row r="457" spans="1:84" ht="15" thickBo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</row>
    <row r="458" spans="1:84" ht="15" thickBo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</row>
    <row r="459" spans="1:84" ht="15" thickBo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</row>
    <row r="460" spans="1:84" ht="15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</row>
    <row r="461" spans="1:84" ht="15" thickBo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</row>
    <row r="462" spans="1:84" ht="15" thickBo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</row>
    <row r="463" spans="1:84" ht="15" thickBo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</row>
    <row r="464" spans="1:84" ht="1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</row>
    <row r="465" spans="1:84" ht="15" thickBo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</row>
    <row r="466" spans="1:84" ht="15" thickBo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</row>
    <row r="467" spans="1:84" ht="15" thickBo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</row>
    <row r="468" spans="1:84" ht="15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</row>
    <row r="469" spans="1:84" ht="15" thickBo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</row>
    <row r="470" spans="1:84" ht="15" thickBo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</row>
    <row r="471" spans="1:84" ht="15" thickBo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</row>
    <row r="472" spans="1:84" ht="15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</row>
    <row r="473" spans="1:84" ht="15" thickBo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</row>
    <row r="474" spans="1:84" ht="15" thickBo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</row>
    <row r="475" spans="1:84" ht="15" thickBo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</row>
    <row r="476" spans="1:84" ht="15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</row>
    <row r="477" spans="1:84" ht="15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</row>
    <row r="478" spans="1:84" ht="15" thickBo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</row>
    <row r="479" spans="1:84" ht="15" thickBo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</row>
    <row r="480" spans="1:84" ht="15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</row>
    <row r="481" spans="1:84" ht="15" thickBo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</row>
    <row r="482" spans="1:84" ht="15" thickBo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</row>
    <row r="483" spans="1:84" ht="15" thickBo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</row>
    <row r="484" spans="1:84" ht="15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</row>
    <row r="485" spans="1:84" ht="15" thickBo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</row>
    <row r="486" spans="1:84" ht="15" thickBo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</row>
    <row r="487" spans="1:84" ht="15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</row>
    <row r="488" spans="1:84" ht="15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</row>
    <row r="489" spans="1:84" ht="15" thickBo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</row>
    <row r="490" spans="1:84" ht="15" thickBo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</row>
    <row r="491" spans="1:84" ht="15" thickBo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</row>
    <row r="492" spans="1:84" ht="15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</row>
    <row r="493" spans="1:84" ht="15" thickBo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</row>
    <row r="494" spans="1:84" ht="15" thickBo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</row>
    <row r="495" spans="1:84" ht="15" thickBo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</row>
    <row r="496" spans="1:84" ht="15" thickBo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</row>
    <row r="497" spans="1:84" ht="15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</row>
    <row r="498" spans="1:84" ht="15" thickBo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</row>
    <row r="499" spans="1:84" ht="15" thickBo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</row>
    <row r="500" spans="1:84" ht="15" thickBo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</row>
    <row r="501" spans="1:84" ht="15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</row>
    <row r="502" spans="1:84" ht="15" thickBo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</row>
    <row r="503" spans="1:84" ht="15" thickBo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</row>
    <row r="504" spans="1:84" ht="15" thickBo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</row>
    <row r="505" spans="1:84" ht="15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</row>
    <row r="506" spans="1:84" ht="15" thickBo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</row>
    <row r="507" spans="1:84" ht="1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</row>
    <row r="508" spans="1:84" ht="15" thickBo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</row>
    <row r="509" spans="1:84" ht="15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</row>
    <row r="510" spans="1:84" ht="15" thickBo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</row>
    <row r="511" spans="1:84" ht="15" thickBo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</row>
    <row r="512" spans="1:84" ht="15" thickBo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</row>
    <row r="513" spans="1:84" ht="15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</row>
    <row r="514" spans="1:84" ht="15" thickBo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</row>
    <row r="515" spans="1:84" ht="15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</row>
    <row r="516" spans="1:84" ht="15" thickBo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</row>
    <row r="517" spans="1:84" ht="15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</row>
    <row r="518" spans="1:84" ht="15" thickBo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</row>
    <row r="519" spans="1:84" ht="15" thickBo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</row>
    <row r="520" spans="1:84" ht="15" thickBo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</row>
    <row r="521" spans="1:84" ht="15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</row>
    <row r="522" spans="1:84" ht="15" thickBo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</row>
    <row r="523" spans="1:84" ht="15" thickBo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</row>
    <row r="524" spans="1:84" ht="15" thickBo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</row>
    <row r="525" spans="1:84" ht="1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</row>
    <row r="526" spans="1:84" ht="15" thickBo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</row>
    <row r="527" spans="1:84" ht="15" thickBo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</row>
    <row r="528" spans="1:84" ht="15" thickBo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</row>
    <row r="529" spans="1:84" ht="15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</row>
    <row r="530" spans="1:84" ht="15" thickBo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</row>
    <row r="531" spans="1:84" ht="15" thickBo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</row>
    <row r="532" spans="1:84" ht="15" thickBo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</row>
    <row r="533" spans="1:84" ht="15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</row>
    <row r="534" spans="1:84" ht="15" thickBo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</row>
    <row r="535" spans="1:84" ht="15" thickBo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</row>
    <row r="536" spans="1:84" ht="15" thickBo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</row>
    <row r="537" spans="1:84" ht="15" thickBo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</row>
    <row r="538" spans="1:84" ht="15" thickBo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</row>
    <row r="539" spans="1:84" ht="15" thickBo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</row>
    <row r="540" spans="1:84" ht="15" thickBo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</row>
    <row r="541" spans="1:84" ht="15" thickBo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</row>
    <row r="542" spans="1:84" ht="15" thickBo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</row>
    <row r="543" spans="1:84" ht="15" thickBo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</row>
    <row r="544" spans="1:84" ht="15" thickBo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</row>
    <row r="545" spans="1:84" ht="15" thickBo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</row>
    <row r="546" spans="1:84" ht="15" thickBo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</row>
    <row r="547" spans="1:84" ht="15" thickBo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</row>
    <row r="548" spans="1:84" ht="15" thickBo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</row>
    <row r="549" spans="1:84" ht="15" thickBo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</row>
    <row r="550" spans="1:84" ht="15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</row>
    <row r="551" spans="1:84" ht="15" thickBo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</row>
    <row r="552" spans="1:84" ht="15" thickBo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</row>
    <row r="553" spans="1:84" ht="15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</row>
    <row r="554" spans="1:84" ht="15" thickBo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</row>
    <row r="555" spans="1:84" ht="15" thickBo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</row>
    <row r="556" spans="1:84" ht="15" thickBo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</row>
    <row r="557" spans="1:84" ht="15" thickBo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</row>
    <row r="558" spans="1:84" ht="15" thickBo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</row>
    <row r="559" spans="1:84" ht="15" thickBo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</row>
    <row r="560" spans="1:84" ht="15" thickBo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</row>
    <row r="561" spans="1:84" ht="15" thickBo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</row>
    <row r="562" spans="1:84" ht="15" thickBo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</row>
    <row r="563" spans="1:84" ht="15" thickBo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</row>
    <row r="564" spans="1:84" ht="15" thickBo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</row>
    <row r="565" spans="1:84" ht="15" thickBo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</row>
    <row r="566" spans="1:84" ht="15" thickBo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</row>
    <row r="567" spans="1:84" ht="15" thickBo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</row>
    <row r="568" spans="1:84" ht="15" thickBo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</row>
    <row r="569" spans="1:84" ht="15" thickBo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</row>
    <row r="570" spans="1:84" ht="15" thickBo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</row>
    <row r="571" spans="1:84" ht="15" thickBo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</row>
    <row r="572" spans="1:84" ht="15" thickBo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</row>
    <row r="573" spans="1:84" ht="15" thickBo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</row>
    <row r="574" spans="1:84" ht="15" thickBo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</row>
    <row r="575" spans="1:84" ht="15" thickBo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</row>
    <row r="576" spans="1:84" ht="15" thickBo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</row>
    <row r="577" spans="1:84" ht="15" thickBo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</row>
    <row r="578" spans="1:84" ht="15" thickBo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</row>
    <row r="579" spans="1:84" ht="15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</row>
    <row r="580" spans="1:84" ht="15" thickBo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</row>
    <row r="581" spans="1:84" ht="15" thickBo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</row>
    <row r="582" spans="1:84" ht="15" thickBo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</row>
    <row r="583" spans="1:84" ht="15" thickBo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</row>
    <row r="584" spans="1:84" ht="15" thickBo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</row>
    <row r="585" spans="1:84" ht="15" thickBo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</row>
    <row r="586" spans="1:84" ht="15" thickBo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</row>
    <row r="587" spans="1:84" ht="15" thickBo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</row>
    <row r="588" spans="1:84" ht="15" thickBo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</row>
    <row r="589" spans="1:84" ht="15" thickBo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</row>
    <row r="590" spans="1:84" ht="15" thickBo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</row>
    <row r="591" spans="1:84" ht="15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</row>
    <row r="592" spans="1:84" ht="15" thickBo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</row>
    <row r="593" spans="1:84" ht="15" thickBo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</row>
    <row r="594" spans="1:84" ht="15" thickBo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</row>
    <row r="595" spans="1:84" ht="15" thickBo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</row>
    <row r="596" spans="1:84" ht="15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</row>
    <row r="597" spans="1:84" ht="15" thickBo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</row>
    <row r="598" spans="1:84" ht="15" thickBo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</row>
    <row r="599" spans="1:84" ht="15" thickBo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</row>
    <row r="600" spans="1:84" ht="15" thickBo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</row>
    <row r="601" spans="1:84" ht="15" thickBo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</row>
    <row r="602" spans="1:84" ht="15" thickBo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</row>
    <row r="603" spans="1:84" ht="15" thickBo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</row>
    <row r="604" spans="1:84" ht="15" thickBo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</row>
    <row r="605" spans="1:84" ht="15" thickBo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</row>
    <row r="606" spans="1:84" ht="15" thickBo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</row>
    <row r="607" spans="1:84" ht="15" thickBo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</row>
    <row r="608" spans="1:84" ht="15" thickBo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</row>
    <row r="609" spans="1:84" ht="15" thickBo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</row>
    <row r="610" spans="1:84" ht="15" thickBo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</row>
    <row r="611" spans="1:84" ht="15" thickBo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</row>
    <row r="612" spans="1:84" ht="15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</row>
    <row r="613" spans="1:84" ht="15" thickBo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</row>
    <row r="614" spans="1:84" ht="15" thickBo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</row>
    <row r="615" spans="1:84" ht="15" thickBo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</row>
    <row r="616" spans="1:84" ht="15" thickBo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</row>
    <row r="617" spans="1:84" ht="15" thickBo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</row>
    <row r="618" spans="1:84" ht="15" thickBo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</row>
    <row r="619" spans="1:84" ht="15" thickBo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</row>
    <row r="620" spans="1:84" ht="15" thickBo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</row>
    <row r="621" spans="1:84" ht="15" thickBo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</row>
    <row r="622" spans="1:84" ht="15" thickBo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</row>
    <row r="623" spans="1:84" ht="15" thickBo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</row>
    <row r="624" spans="1:84" ht="15" thickBo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</row>
    <row r="625" spans="1:84" ht="15" thickBo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</row>
    <row r="626" spans="1:84" ht="15" thickBo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</row>
    <row r="627" spans="1:84" ht="15" thickBo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</row>
    <row r="628" spans="1:84" ht="15" thickBo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</row>
    <row r="629" spans="1:84" ht="15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</row>
    <row r="630" spans="1:84" ht="15" thickBo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</row>
    <row r="631" spans="1:84" ht="15" thickBo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</row>
    <row r="632" spans="1:84" ht="15" thickBo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</row>
    <row r="633" spans="1:84" ht="15" thickBo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</row>
    <row r="634" spans="1:84" ht="15" thickBo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</row>
    <row r="635" spans="1:84" ht="15" thickBo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</row>
    <row r="636" spans="1:84" ht="15" thickBo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</row>
    <row r="637" spans="1:84" ht="15" thickBo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</row>
    <row r="638" spans="1:84" ht="15" thickBo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</row>
    <row r="639" spans="1:84" ht="15" thickBo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</row>
    <row r="640" spans="1:84" ht="15" thickBo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</row>
    <row r="641" spans="1:84" ht="15" thickBo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</row>
    <row r="642" spans="1:84" ht="15" thickBo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</row>
    <row r="643" spans="1:84" ht="15" thickBo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</row>
    <row r="644" spans="1:84" ht="15" thickBo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</row>
    <row r="645" spans="1:84" ht="15" thickBo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</row>
    <row r="646" spans="1:84" ht="15" thickBo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</row>
    <row r="647" spans="1:84" ht="15" thickBo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</row>
    <row r="648" spans="1:84" ht="15" thickBo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</row>
    <row r="649" spans="1:84" ht="15" thickBo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</row>
    <row r="650" spans="1:84" ht="15" thickBo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</row>
    <row r="651" spans="1:84" ht="15" thickBo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</row>
    <row r="652" spans="1:84" ht="15" thickBo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</row>
    <row r="653" spans="1:84" ht="15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</row>
    <row r="654" spans="1:84" ht="15" thickBo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</row>
    <row r="655" spans="1:84" ht="15" thickBo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</row>
    <row r="656" spans="1:84" ht="15" thickBo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</row>
    <row r="657" spans="1:84" ht="15" thickBo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</row>
    <row r="658" spans="1:84" ht="15" thickBo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</row>
    <row r="659" spans="1:84" ht="15" thickBo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</row>
    <row r="660" spans="1:84" ht="15" thickBo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</row>
    <row r="661" spans="1:84" ht="15" thickBo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</row>
    <row r="662" spans="1:84" ht="15" thickBo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</row>
    <row r="663" spans="1:84" ht="15" thickBo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</row>
    <row r="664" spans="1:84" ht="15" thickBo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</row>
    <row r="665" spans="1:84" ht="15" thickBo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</row>
    <row r="666" spans="1:84" ht="15" thickBo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</row>
    <row r="667" spans="1:84" ht="15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</row>
    <row r="668" spans="1:84" ht="15" thickBo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</row>
    <row r="669" spans="1:84" ht="15" thickBo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</row>
    <row r="670" spans="1:84" ht="15" thickBo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</row>
    <row r="671" spans="1:84" ht="15" thickBo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</row>
    <row r="672" spans="1:84" ht="15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</row>
    <row r="673" spans="1:84" ht="15" thickBo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</row>
    <row r="674" spans="1:84" ht="15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</row>
    <row r="675" spans="1:84" ht="15" thickBo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</row>
    <row r="676" spans="1:84" ht="15" thickBo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</row>
    <row r="677" spans="1:84" ht="15" thickBo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</row>
    <row r="678" spans="1:84" ht="15" thickBo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</row>
    <row r="679" spans="1:84" ht="15" thickBo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</row>
    <row r="680" spans="1:84" ht="15" thickBo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</row>
    <row r="681" spans="1:84" ht="15" thickBo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</row>
    <row r="682" spans="1:84" ht="15" thickBo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</row>
    <row r="683" spans="1:84" ht="15" thickBo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</row>
    <row r="684" spans="1:84" ht="15" thickBo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</row>
    <row r="685" spans="1:84" ht="15" thickBo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</row>
    <row r="686" spans="1:84" ht="15" thickBo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</row>
    <row r="687" spans="1:84" ht="15" thickBo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</row>
    <row r="688" spans="1:84" ht="15" thickBo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</row>
    <row r="689" spans="1:84" ht="15" thickBo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</row>
    <row r="690" spans="1:84" ht="15" thickBo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</row>
    <row r="691" spans="1:84" ht="15" thickBo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</row>
    <row r="692" spans="1:84" ht="15" thickBo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</row>
    <row r="693" spans="1:84" ht="15" thickBo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</row>
    <row r="694" spans="1:84" ht="15" thickBo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</row>
    <row r="695" spans="1:84" ht="15" thickBo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</row>
    <row r="696" spans="1:84" ht="15" thickBo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</row>
    <row r="697" spans="1:84" ht="15" thickBo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</row>
    <row r="698" spans="1:84" ht="15" thickBo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</row>
    <row r="699" spans="1:84" ht="15" thickBo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</row>
    <row r="700" spans="1:84" ht="15" thickBo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</row>
    <row r="701" spans="1:84" ht="15" thickBo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</row>
    <row r="702" spans="1:84" ht="15" thickBo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</row>
    <row r="703" spans="1:84" ht="15" thickBo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</row>
    <row r="704" spans="1:84" ht="15" thickBo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</row>
    <row r="705" spans="1:84" ht="15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</row>
    <row r="706" spans="1:84" ht="15" thickBo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</row>
    <row r="707" spans="1:84" ht="15" thickBo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</row>
    <row r="708" spans="1:84" ht="15" thickBo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</row>
    <row r="709" spans="1:84" ht="15" thickBo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</row>
    <row r="710" spans="1:84" ht="15" thickBo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</row>
    <row r="711" spans="1:84" ht="15" thickBo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</row>
    <row r="712" spans="1:84" ht="15" thickBo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</row>
    <row r="713" spans="1:84" ht="15" thickBo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</row>
    <row r="714" spans="1:84" ht="15" thickBo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</row>
    <row r="715" spans="1:84" ht="15" thickBo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</row>
    <row r="716" spans="1:84" ht="15" thickBo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</row>
    <row r="717" spans="1:84" ht="15" thickBo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</row>
    <row r="718" spans="1:84" ht="15" thickBo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</row>
    <row r="719" spans="1:84" ht="15" thickBo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</row>
    <row r="720" spans="1:84" ht="15" thickBo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</row>
    <row r="721" spans="1:84" ht="15" thickBo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</row>
    <row r="722" spans="1:84" ht="15" thickBo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</row>
    <row r="723" spans="1:84" ht="15" thickBo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</row>
    <row r="724" spans="1:84" ht="15" thickBo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</row>
    <row r="725" spans="1:84" ht="15" thickBo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</row>
    <row r="726" spans="1:84" ht="15" thickBo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</row>
    <row r="727" spans="1:84" ht="15" thickBo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</row>
    <row r="728" spans="1:84" ht="15" thickBo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</row>
    <row r="729" spans="1:84" ht="15" thickBo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</row>
    <row r="730" spans="1:84" ht="15" thickBo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</row>
    <row r="731" spans="1:84" ht="15" thickBo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</row>
    <row r="732" spans="1:84" ht="15" thickBo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</row>
    <row r="733" spans="1:84" ht="15" thickBo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</row>
    <row r="734" spans="1:84" ht="15" thickBo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</row>
    <row r="735" spans="1:84" ht="15" thickBo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</row>
    <row r="736" spans="1:84" ht="15" thickBo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</row>
    <row r="737" spans="1:84" ht="15" thickBo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</row>
    <row r="738" spans="1:84" ht="15" thickBo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</row>
    <row r="739" spans="1:84" ht="15" thickBo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</row>
    <row r="740" spans="1:84" ht="15" thickBo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</row>
    <row r="741" spans="1:84" ht="15" thickBo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</row>
    <row r="742" spans="1:84" ht="15" thickBo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</row>
    <row r="743" spans="1:84" ht="15" thickBo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</row>
    <row r="744" spans="1:84" ht="15" thickBo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</row>
    <row r="745" spans="1:84" ht="15" thickBo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</row>
    <row r="746" spans="1:84" ht="15" thickBo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</row>
    <row r="747" spans="1:84" ht="15" thickBo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</row>
    <row r="748" spans="1:84" ht="15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</row>
    <row r="749" spans="1:84" ht="15" thickBo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</row>
    <row r="750" spans="1:84" ht="15" thickBo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</row>
    <row r="751" spans="1:84" ht="15" thickBo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</row>
    <row r="752" spans="1:84" ht="15" thickBo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</row>
    <row r="753" spans="1:84" ht="15" thickBo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</row>
    <row r="754" spans="1:84" ht="15" thickBo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</row>
    <row r="755" spans="1:84" ht="15" thickBo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</row>
    <row r="756" spans="1:84" ht="15" thickBo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</row>
    <row r="757" spans="1:84" ht="15" thickBo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</row>
    <row r="758" spans="1:84" ht="15" thickBo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</row>
    <row r="759" spans="1:84" ht="15" thickBo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</row>
    <row r="760" spans="1:84" ht="15" thickBo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</row>
    <row r="761" spans="1:84" ht="15" thickBo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</row>
    <row r="762" spans="1:84" ht="15" thickBo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</row>
    <row r="763" spans="1:84" ht="15" thickBo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</row>
    <row r="764" spans="1:84" ht="15" thickBo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</row>
    <row r="765" spans="1:84" ht="15" thickBo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</row>
    <row r="766" spans="1:84" ht="15" thickBo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</row>
    <row r="767" spans="1:84" ht="15" thickBo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</row>
    <row r="768" spans="1:84" ht="15" thickBo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</row>
    <row r="769" spans="1:84" ht="15" thickBo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</row>
    <row r="770" spans="1:84" ht="15" thickBo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</row>
    <row r="771" spans="1:84" ht="15" thickBo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</row>
    <row r="772" spans="1:84" ht="15" thickBo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</row>
    <row r="773" spans="1:84" ht="15" thickBo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</row>
    <row r="774" spans="1:84" ht="15" thickBo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</row>
    <row r="775" spans="1:84" ht="15" thickBo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</row>
    <row r="776" spans="1:84" ht="15" thickBo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</row>
    <row r="777" spans="1:84" ht="15" thickBo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</row>
    <row r="778" spans="1:84" ht="15" thickBo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</row>
    <row r="779" spans="1:84" ht="15" thickBo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</row>
    <row r="780" spans="1:84" ht="15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</row>
    <row r="781" spans="1:84" ht="15" thickBo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</row>
    <row r="782" spans="1:84" ht="15" thickBo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</row>
    <row r="783" spans="1:84" ht="15" thickBo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</row>
    <row r="784" spans="1:84" ht="15" thickBo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</row>
    <row r="785" spans="1:84" ht="15" thickBo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</row>
    <row r="786" spans="1:84" ht="15" thickBo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</row>
    <row r="787" spans="1:84" ht="15" thickBo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</row>
    <row r="788" spans="1:84" ht="15" thickBo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</row>
    <row r="789" spans="1:84" ht="15" thickBo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</row>
    <row r="790" spans="1:84" ht="15" thickBo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</row>
    <row r="791" spans="1:84" ht="15" thickBo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</row>
    <row r="792" spans="1:84" ht="15" thickBo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</row>
    <row r="793" spans="1:84" ht="15" thickBo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</row>
    <row r="794" spans="1:84" ht="15" thickBo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</row>
    <row r="795" spans="1:84" ht="15" thickBo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</row>
    <row r="796" spans="1:84" ht="15" thickBo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</row>
    <row r="797" spans="1:84" ht="15" thickBo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</row>
    <row r="798" spans="1:84" ht="15" thickBo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</row>
    <row r="799" spans="1:84" ht="15" thickBo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</row>
    <row r="800" spans="1:84" ht="15" thickBo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</row>
    <row r="801" spans="1:84" ht="15" thickBo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</row>
    <row r="802" spans="1:84" ht="15" thickBo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</row>
    <row r="803" spans="1:84" ht="15" thickBo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</row>
    <row r="804" spans="1:84" ht="15" thickBo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</row>
    <row r="805" spans="1:84" ht="15" thickBo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</row>
    <row r="806" spans="1:84" ht="15" thickBo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</row>
    <row r="807" spans="1:84" ht="15" thickBo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</row>
    <row r="808" spans="1:84" ht="15" thickBo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</row>
    <row r="809" spans="1:84" ht="15" thickBo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</row>
    <row r="810" spans="1:84" ht="15" thickBo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</row>
    <row r="811" spans="1:84" ht="15" thickBo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</row>
    <row r="812" spans="1:84" ht="15" thickBo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</row>
    <row r="813" spans="1:84" ht="15" thickBo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</row>
    <row r="814" spans="1:84" ht="15" thickBo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</row>
    <row r="815" spans="1:84" ht="15" thickBo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</row>
    <row r="816" spans="1:84" ht="15" thickBo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</row>
    <row r="817" spans="1:84" ht="15" thickBo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</row>
    <row r="818" spans="1:84" ht="15" thickBo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</row>
    <row r="819" spans="1:84" ht="15" thickBo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</row>
    <row r="820" spans="1:84" ht="15" thickBo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</row>
    <row r="821" spans="1:84" ht="15" thickBo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</row>
    <row r="822" spans="1:84" ht="15" thickBo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</row>
    <row r="823" spans="1:84" ht="15" thickBo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</row>
    <row r="824" spans="1:84" ht="15" thickBo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</row>
    <row r="825" spans="1:84" ht="15" thickBo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</row>
    <row r="826" spans="1:84" ht="15" thickBo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</row>
    <row r="827" spans="1:84" ht="15" thickBo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</row>
    <row r="828" spans="1:84" ht="15" thickBo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</row>
    <row r="829" spans="1:84" ht="15" thickBo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</row>
    <row r="830" spans="1:84" ht="15" thickBo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</row>
    <row r="831" spans="1:84" ht="15" thickBo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</row>
    <row r="832" spans="1:84" ht="15" thickBo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</row>
    <row r="833" spans="1:84" ht="15" thickBo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</row>
    <row r="834" spans="1:84" ht="15" thickBo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</row>
    <row r="835" spans="1:84" ht="15" thickBo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</row>
    <row r="836" spans="1:84" ht="15" thickBo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</row>
    <row r="837" spans="1:84" ht="15" thickBo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</row>
    <row r="838" spans="1:84" ht="15" thickBo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</row>
    <row r="839" spans="1:84" ht="15" thickBo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</row>
    <row r="840" spans="1:84" ht="15" thickBo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</row>
    <row r="841" spans="1:84" ht="15" thickBo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</row>
    <row r="842" spans="1:84" ht="15" thickBo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</row>
    <row r="843" spans="1:84" ht="15" thickBo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</row>
    <row r="844" spans="1:84" ht="15" thickBo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</row>
    <row r="845" spans="1:84" ht="15" thickBo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</row>
    <row r="846" spans="1:84" ht="15" thickBo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</row>
    <row r="847" spans="1:84" ht="15" thickBo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</row>
    <row r="848" spans="1:84" ht="15" thickBo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</row>
    <row r="849" spans="1:84" ht="15" thickBo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</row>
    <row r="850" spans="1:84" ht="15" thickBo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</row>
    <row r="851" spans="1:84" ht="15" thickBo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</row>
    <row r="852" spans="1:84" ht="15" thickBo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</row>
    <row r="853" spans="1:84" ht="15" thickBo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</row>
    <row r="854" spans="1:84" ht="15" thickBo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</row>
    <row r="855" spans="1:84" ht="15" thickBo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</row>
    <row r="856" spans="1:84" ht="15" thickBo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</row>
    <row r="857" spans="1:84" ht="15" thickBo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</row>
    <row r="858" spans="1:84" ht="15" thickBo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</row>
    <row r="859" spans="1:84" ht="15" thickBo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</row>
    <row r="860" spans="1:84" ht="15" thickBo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</row>
    <row r="861" spans="1:84" ht="15" thickBo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</row>
    <row r="862" spans="1:84" ht="15" thickBo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</row>
    <row r="863" spans="1:84" ht="15" thickBo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</row>
    <row r="864" spans="1:84" ht="15" thickBo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</row>
    <row r="865" spans="1:84" ht="15" thickBo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</row>
    <row r="866" spans="1:84" ht="15" thickBo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</row>
    <row r="867" spans="1:84" ht="15" thickBo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</row>
    <row r="868" spans="1:84" ht="15" thickBo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</row>
    <row r="869" spans="1:84" ht="15" thickBo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</row>
    <row r="870" spans="1:84" ht="15" thickBo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</row>
    <row r="871" spans="1:84" ht="15" thickBo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</row>
    <row r="872" spans="1:84" ht="15" thickBo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</row>
    <row r="873" spans="1:84" ht="15" thickBo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</row>
    <row r="874" spans="1:84" ht="15" thickBo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</row>
    <row r="875" spans="1:84" ht="15" thickBo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</row>
    <row r="876" spans="1:84" ht="15" thickBo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</row>
    <row r="877" spans="1:84" ht="15" thickBo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</row>
    <row r="878" spans="1:84" ht="15" thickBo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</row>
    <row r="879" spans="1:84" ht="15" thickBo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</row>
    <row r="880" spans="1:84" ht="15" thickBo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</row>
    <row r="881" spans="1:84" ht="15" thickBo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</row>
    <row r="882" spans="1:84" ht="15" thickBo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</row>
    <row r="883" spans="1:84" ht="15" thickBo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</row>
    <row r="884" spans="1:84" ht="15" thickBo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</row>
    <row r="885" spans="1:84" ht="15" thickBo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</row>
    <row r="886" spans="1:84" ht="15" thickBo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</row>
    <row r="887" spans="1:84" ht="15" thickBo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</row>
    <row r="888" spans="1:84" ht="15" thickBo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</row>
    <row r="889" spans="1:84" ht="15" thickBo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</row>
    <row r="890" spans="1:84" ht="15" thickBo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</row>
    <row r="891" spans="1:84" ht="15" thickBo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</row>
    <row r="892" spans="1:84" ht="15" thickBo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</row>
    <row r="893" spans="1:84" ht="15" thickBo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</row>
    <row r="894" spans="1:84" ht="15" thickBo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</row>
    <row r="895" spans="1:84" ht="15" thickBo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</row>
    <row r="896" spans="1:84" ht="15" thickBo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</row>
    <row r="897" spans="1:84" ht="15" thickBo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</row>
    <row r="898" spans="1:84" ht="15" thickBo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</row>
    <row r="899" spans="1:84" ht="15" thickBo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</row>
    <row r="900" spans="1:84" ht="15" thickBo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</row>
    <row r="901" spans="1:84" ht="15" thickBo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</row>
    <row r="902" spans="1:84" ht="15" thickBo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</row>
    <row r="903" spans="1:84" ht="15" thickBo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</row>
    <row r="904" spans="1:84" ht="15" thickBo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</row>
    <row r="905" spans="1:84" ht="15" thickBo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</row>
    <row r="906" spans="1:84" ht="15" thickBo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</row>
    <row r="907" spans="1:84" ht="15" thickBo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</row>
    <row r="908" spans="1:84" ht="15" thickBo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</row>
    <row r="909" spans="1:84" ht="15" thickBo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</row>
    <row r="910" spans="1:84" ht="15" thickBo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</row>
    <row r="911" spans="1:84" ht="15" thickBo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</row>
    <row r="912" spans="1:84" ht="15" thickBo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</row>
    <row r="913" spans="1:84" ht="15" thickBo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</row>
    <row r="914" spans="1:84" ht="15" thickBo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</row>
    <row r="915" spans="1:84" ht="15" thickBo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</row>
    <row r="916" spans="1:84" ht="15" thickBo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</row>
    <row r="917" spans="1:84" ht="15" thickBo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</row>
    <row r="918" spans="1:84" ht="15" thickBo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</row>
    <row r="919" spans="1:84" ht="15" thickBo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</row>
    <row r="920" spans="1:84" ht="15" thickBo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</row>
    <row r="921" spans="1:84" ht="15" thickBo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</row>
    <row r="922" spans="1:84" ht="15" thickBo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</row>
    <row r="923" spans="1:84" ht="15" thickBo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</row>
    <row r="924" spans="1:84" ht="15" thickBo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</row>
    <row r="925" spans="1:84" ht="15" thickBo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</row>
    <row r="926" spans="1:84" ht="15" thickBo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</row>
    <row r="927" spans="1:84" ht="15" thickBo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</row>
    <row r="928" spans="1:84" ht="15" thickBo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</row>
    <row r="929" spans="1:84" ht="15" thickBo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</row>
    <row r="930" spans="1:84" ht="15" thickBo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</row>
    <row r="931" spans="1:84" ht="15" thickBo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</row>
    <row r="932" spans="1:84" ht="15" thickBo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</row>
    <row r="933" spans="1:84" ht="15" thickBo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</row>
    <row r="934" spans="1:84" ht="15" thickBo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</row>
    <row r="935" spans="1:84" ht="15" thickBo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</row>
    <row r="936" spans="1:84" ht="15" thickBo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</row>
    <row r="937" spans="1:84" ht="15" thickBo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</row>
    <row r="938" spans="1:84" ht="15" thickBo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</row>
    <row r="939" spans="1:84" ht="15" thickBo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</row>
    <row r="940" spans="1:84" ht="15" thickBo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</row>
    <row r="941" spans="1:84" ht="15" thickBo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</row>
    <row r="942" spans="1:84" ht="15" thickBo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</row>
    <row r="943" spans="1:84" ht="15" thickBo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</row>
    <row r="944" spans="1:84" ht="15" thickBo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</row>
    <row r="945" spans="1:84" ht="15" thickBo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</row>
    <row r="946" spans="1:84" ht="15" thickBo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</row>
    <row r="947" spans="1:84" ht="15" thickBo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</row>
    <row r="948" spans="1:84" ht="15" thickBo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</row>
    <row r="949" spans="1:84" ht="15" thickBo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</row>
    <row r="950" spans="1:84" ht="15" thickBo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</row>
    <row r="951" spans="1:84" ht="15" thickBo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</row>
    <row r="952" spans="1:84" ht="15" thickBo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</row>
    <row r="953" spans="1:84" ht="15" thickBo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</row>
    <row r="954" spans="1:84" ht="15" thickBo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</row>
    <row r="955" spans="1:84" ht="15" thickBo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</row>
    <row r="956" spans="1:84" ht="15" thickBo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</row>
    <row r="957" spans="1:84" ht="15" thickBo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</row>
    <row r="958" spans="1:84" ht="15" thickBo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</row>
    <row r="959" spans="1:84" ht="15" thickBo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</row>
    <row r="960" spans="1:84" ht="15" thickBo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</row>
    <row r="961" spans="1:84" ht="15" thickBo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</row>
    <row r="962" spans="1:84" ht="15" thickBo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</row>
    <row r="963" spans="1:84" ht="15" thickBo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</row>
    <row r="964" spans="1:84" ht="15" thickBo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</row>
    <row r="965" spans="1:84" ht="15" thickBo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</row>
    <row r="966" spans="1:84" ht="15" thickBo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</row>
    <row r="967" spans="1:84" ht="15" thickBo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</row>
    <row r="968" spans="1:84" ht="15" thickBo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</row>
    <row r="969" spans="1:84" ht="15" thickBo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</row>
    <row r="970" spans="1:84" ht="15" thickBo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</row>
    <row r="971" spans="1:84" ht="15" thickBo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</row>
    <row r="972" spans="1:84" ht="15" thickBo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</row>
    <row r="973" spans="1:84" ht="15" thickBo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</row>
    <row r="974" spans="1:84" ht="15" thickBo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</row>
    <row r="975" spans="1:84" ht="15" thickBo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</row>
    <row r="976" spans="1:84" ht="15" thickBo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</row>
    <row r="977" spans="1:84" ht="15" thickBo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</row>
    <row r="978" spans="1:84" ht="15" thickBo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</row>
    <row r="979" spans="1:84" ht="15" thickBo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</row>
    <row r="980" spans="1:84" ht="15" thickBo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</row>
    <row r="981" spans="1:84" ht="15" thickBo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</row>
    <row r="982" spans="1:84" ht="15" thickBo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</row>
    <row r="983" spans="1:84" ht="15" thickBo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</row>
    <row r="984" spans="1:84" ht="15" thickBo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</row>
    <row r="985" spans="1:84" ht="15" thickBo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</row>
    <row r="986" spans="1:84" ht="15" thickBo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</row>
    <row r="987" spans="1:84" ht="15" thickBo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</row>
    <row r="988" spans="1:84" ht="15" thickBo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</row>
    <row r="989" spans="1:84" ht="15" thickBo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</row>
    <row r="990" spans="1:84" ht="15" thickBo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</row>
    <row r="991" spans="1:84" ht="15" thickBo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</row>
    <row r="992" spans="1:84" ht="15" thickBo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</row>
    <row r="993" spans="1:84" ht="15" thickBo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</row>
    <row r="994" spans="1:84" ht="15" thickBo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</row>
    <row r="995" spans="1:84" ht="15" thickBo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</row>
    <row r="996" spans="1:84" ht="15" thickBo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</row>
    <row r="997" spans="1:84" ht="15" thickBo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</row>
    <row r="998" spans="1:84" ht="15" thickBo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</row>
    <row r="999" spans="1:84" ht="15" thickBo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</row>
    <row r="1000" spans="1:84" ht="15" thickBo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</row>
    <row r="1001" spans="1:84" ht="15" thickBo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</row>
    <row r="1002" spans="1:84" ht="15" thickBo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</row>
    <row r="1003" spans="1:84" ht="15" thickBo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E489-B2D0-4A65-ADA8-C51CF7347AF4}">
  <dimension ref="A1:J10"/>
  <sheetViews>
    <sheetView workbookViewId="0">
      <selection activeCell="D8" sqref="D8:E8"/>
    </sheetView>
  </sheetViews>
  <sheetFormatPr defaultRowHeight="14.25"/>
  <cols>
    <col min="3" max="3" width="11.375" customWidth="1"/>
    <col min="9" max="9" width="19.875" customWidth="1"/>
    <col min="10" max="10" width="11.125" bestFit="1" customWidth="1"/>
  </cols>
  <sheetData>
    <row r="1" spans="1:10" ht="15.75" thickBot="1">
      <c r="A1" s="381" t="s">
        <v>544</v>
      </c>
      <c r="B1" s="382"/>
      <c r="C1" s="382"/>
      <c r="D1" s="382"/>
      <c r="E1" s="382"/>
      <c r="F1" s="382"/>
      <c r="G1" s="383"/>
    </row>
    <row r="2" spans="1:10">
      <c r="A2" s="386" t="s">
        <v>545</v>
      </c>
      <c r="B2" s="387"/>
      <c r="C2" s="387"/>
      <c r="D2" s="388">
        <f>Financiamento!C7+Financiamento!C8</f>
        <v>472410.25999999989</v>
      </c>
      <c r="E2" s="388"/>
      <c r="F2" s="384"/>
      <c r="G2" s="385"/>
      <c r="I2" s="370" t="s">
        <v>664</v>
      </c>
      <c r="J2" s="277">
        <v>3</v>
      </c>
    </row>
    <row r="3" spans="1:10">
      <c r="A3" s="386" t="s">
        <v>469</v>
      </c>
      <c r="B3" s="387"/>
      <c r="C3" s="387"/>
      <c r="D3" s="388">
        <f>Financiamento!C10</f>
        <v>28000</v>
      </c>
      <c r="E3" s="388"/>
      <c r="F3" s="384"/>
      <c r="G3" s="385"/>
      <c r="I3" s="125" t="s">
        <v>665</v>
      </c>
      <c r="J3" s="93">
        <f>J2*J4</f>
        <v>118065.63937499998</v>
      </c>
    </row>
    <row r="4" spans="1:10" ht="15" thickBot="1">
      <c r="A4" s="386" t="s">
        <v>546</v>
      </c>
      <c r="B4" s="387"/>
      <c r="C4" s="387"/>
      <c r="D4" s="388">
        <v>250000</v>
      </c>
      <c r="E4" s="388"/>
      <c r="F4" s="384"/>
      <c r="G4" s="385"/>
      <c r="I4" s="127" t="s">
        <v>666</v>
      </c>
      <c r="J4" s="371">
        <f>AVERAGE(Orçamento!C10:N10)</f>
        <v>39355.213124999995</v>
      </c>
    </row>
    <row r="5" spans="1:10" ht="15" thickBot="1">
      <c r="A5" s="394" t="s">
        <v>586</v>
      </c>
      <c r="B5" s="395"/>
      <c r="C5" s="396"/>
      <c r="D5" s="389">
        <v>20000</v>
      </c>
      <c r="E5" s="390"/>
      <c r="F5" s="384"/>
      <c r="G5" s="385"/>
    </row>
    <row r="6" spans="1:10">
      <c r="A6" s="394" t="s">
        <v>587</v>
      </c>
      <c r="B6" s="395"/>
      <c r="C6" s="396"/>
      <c r="D6" s="389">
        <v>28530.25</v>
      </c>
      <c r="E6" s="390"/>
      <c r="F6" s="384"/>
      <c r="G6" s="385"/>
      <c r="I6" s="370" t="s">
        <v>676</v>
      </c>
      <c r="J6" s="277">
        <v>9</v>
      </c>
    </row>
    <row r="7" spans="1:10">
      <c r="A7" s="386" t="s">
        <v>675</v>
      </c>
      <c r="B7" s="387"/>
      <c r="C7" s="387"/>
      <c r="D7" s="388">
        <f>J3+J7</f>
        <v>342004.950625</v>
      </c>
      <c r="E7" s="388"/>
      <c r="F7" s="388"/>
      <c r="G7" s="393"/>
      <c r="I7" s="125" t="s">
        <v>677</v>
      </c>
      <c r="J7" s="102">
        <f>-(J6*J8)</f>
        <v>223939.31125</v>
      </c>
    </row>
    <row r="8" spans="1:10" ht="15.75" thickBot="1">
      <c r="A8" s="400" t="s">
        <v>138</v>
      </c>
      <c r="B8" s="401"/>
      <c r="C8" s="401"/>
      <c r="D8" s="398">
        <f>SUM(D2:E7)</f>
        <v>1140945.4606249998</v>
      </c>
      <c r="E8" s="398"/>
      <c r="F8" s="391"/>
      <c r="G8" s="392"/>
      <c r="I8" s="127" t="s">
        <v>678</v>
      </c>
      <c r="J8" s="374">
        <f>AVERAGE(Orçamento!F5:N5)</f>
        <v>-24882.145694444444</v>
      </c>
    </row>
    <row r="9" spans="1:10">
      <c r="A9" s="397"/>
      <c r="B9" s="397"/>
      <c r="C9" s="397"/>
      <c r="D9" s="399"/>
      <c r="E9" s="399"/>
    </row>
    <row r="10" spans="1:10">
      <c r="A10" s="397"/>
      <c r="B10" s="397"/>
      <c r="C10" s="397"/>
      <c r="D10" s="399"/>
      <c r="E10" s="399"/>
    </row>
  </sheetData>
  <mergeCells count="26">
    <mergeCell ref="A10:C10"/>
    <mergeCell ref="D10:E10"/>
    <mergeCell ref="D9:E9"/>
    <mergeCell ref="A7:C7"/>
    <mergeCell ref="A8:C8"/>
    <mergeCell ref="A5:C5"/>
    <mergeCell ref="A6:C6"/>
    <mergeCell ref="A9:C9"/>
    <mergeCell ref="D7:E7"/>
    <mergeCell ref="D8:E8"/>
    <mergeCell ref="F5:G5"/>
    <mergeCell ref="D5:E5"/>
    <mergeCell ref="D6:E6"/>
    <mergeCell ref="F6:G6"/>
    <mergeCell ref="F8:G8"/>
    <mergeCell ref="F7:G7"/>
    <mergeCell ref="A1:G1"/>
    <mergeCell ref="F2:G2"/>
    <mergeCell ref="F3:G3"/>
    <mergeCell ref="F4:G4"/>
    <mergeCell ref="A2:C2"/>
    <mergeCell ref="D2:E2"/>
    <mergeCell ref="A3:C3"/>
    <mergeCell ref="A4:C4"/>
    <mergeCell ref="D3:E3"/>
    <mergeCell ref="D4:E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D33-DAD6-491C-BED7-3822E3338B25}">
  <dimension ref="A1:H30"/>
  <sheetViews>
    <sheetView zoomScaleNormal="100" workbookViewId="0">
      <selection activeCell="C9" sqref="C9"/>
    </sheetView>
  </sheetViews>
  <sheetFormatPr defaultRowHeight="14.25"/>
  <cols>
    <col min="1" max="1" width="24.125" customWidth="1"/>
    <col min="2" max="4" width="13.25" bestFit="1" customWidth="1"/>
    <col min="5" max="5" width="14.25" bestFit="1" customWidth="1"/>
    <col min="6" max="6" width="14.25" customWidth="1"/>
    <col min="7" max="7" width="13.25" bestFit="1" customWidth="1"/>
    <col min="8" max="8" width="15.25" customWidth="1"/>
    <col min="9" max="9" width="17.625" customWidth="1"/>
    <col min="10" max="10" width="16.625" customWidth="1"/>
  </cols>
  <sheetData>
    <row r="1" spans="1:8">
      <c r="A1" s="403" t="s">
        <v>139</v>
      </c>
      <c r="B1" s="28" t="s">
        <v>412</v>
      </c>
      <c r="C1" s="28" t="s">
        <v>212</v>
      </c>
      <c r="D1" s="28" t="s">
        <v>215</v>
      </c>
      <c r="E1" s="28" t="s">
        <v>182</v>
      </c>
      <c r="F1" s="28" t="s">
        <v>219</v>
      </c>
      <c r="G1" s="28" t="s">
        <v>227</v>
      </c>
      <c r="H1" s="28" t="s">
        <v>220</v>
      </c>
    </row>
    <row r="2" spans="1:8">
      <c r="A2" s="403"/>
      <c r="B2" s="48">
        <v>19000</v>
      </c>
      <c r="C2" s="28">
        <v>250</v>
      </c>
      <c r="D2" s="31">
        <v>10000</v>
      </c>
      <c r="E2" s="35">
        <f>C2*D2</f>
        <v>2500000</v>
      </c>
      <c r="F2" s="47">
        <f>F29</f>
        <v>41083.254307031217</v>
      </c>
      <c r="G2" s="35">
        <f>E2*30%</f>
        <v>750000</v>
      </c>
      <c r="H2" s="35">
        <f>E2-G2</f>
        <v>1750000</v>
      </c>
    </row>
    <row r="3" spans="1:8">
      <c r="A3" s="36" t="s">
        <v>226</v>
      </c>
      <c r="B3" s="48"/>
      <c r="C3" s="28"/>
      <c r="D3" s="31">
        <v>500</v>
      </c>
      <c r="E3" s="35">
        <f>D3*C2</f>
        <v>125000</v>
      </c>
      <c r="F3" s="47"/>
      <c r="G3" s="35"/>
      <c r="H3" s="35"/>
    </row>
    <row r="4" spans="1:8">
      <c r="A4" s="36"/>
      <c r="B4" s="48"/>
      <c r="C4" s="28"/>
      <c r="D4" s="31"/>
      <c r="E4" s="35"/>
      <c r="F4" s="47"/>
      <c r="G4" s="35"/>
      <c r="H4" s="35"/>
    </row>
    <row r="5" spans="1:8">
      <c r="A5" s="403" t="s">
        <v>31</v>
      </c>
      <c r="B5" s="28">
        <f>SUM(B6:B9)</f>
        <v>3</v>
      </c>
      <c r="C5" s="28" t="s">
        <v>171</v>
      </c>
      <c r="D5" s="28" t="s">
        <v>138</v>
      </c>
      <c r="E5" s="28" t="s">
        <v>172</v>
      </c>
      <c r="F5" s="28" t="s">
        <v>173</v>
      </c>
      <c r="G5" s="28" t="s">
        <v>174</v>
      </c>
      <c r="H5" s="28" t="s">
        <v>413</v>
      </c>
    </row>
    <row r="6" spans="1:8">
      <c r="A6" s="403"/>
      <c r="B6" s="33">
        <v>0</v>
      </c>
      <c r="C6" s="31">
        <v>0</v>
      </c>
      <c r="D6" s="35">
        <f>C6*B6</f>
        <v>0</v>
      </c>
      <c r="E6" s="44">
        <v>0.3</v>
      </c>
      <c r="F6" s="45">
        <f>E6*D6</f>
        <v>0</v>
      </c>
      <c r="G6" s="35">
        <f>D6-F6</f>
        <v>0</v>
      </c>
    </row>
    <row r="7" spans="1:8">
      <c r="A7" s="403"/>
      <c r="B7" s="33">
        <v>1</v>
      </c>
      <c r="C7" s="31">
        <f>'Orçamento máquinas'!W40</f>
        <v>411358.65999999992</v>
      </c>
      <c r="D7" s="35">
        <f t="shared" ref="D7:D10" si="0">C7*B7</f>
        <v>411358.65999999992</v>
      </c>
      <c r="E7" s="44">
        <v>0.3</v>
      </c>
      <c r="F7" s="45">
        <f t="shared" ref="F7:F10" si="1">E7*D7</f>
        <v>123407.59799999997</v>
      </c>
      <c r="G7" s="35">
        <f t="shared" ref="G7:G10" si="2">D7-F7</f>
        <v>287951.06199999992</v>
      </c>
      <c r="H7" s="48">
        <f>D29</f>
        <v>23995.921833333327</v>
      </c>
    </row>
    <row r="8" spans="1:8">
      <c r="A8" s="403"/>
      <c r="B8" s="33">
        <v>1</v>
      </c>
      <c r="C8" s="31">
        <v>61051.6</v>
      </c>
      <c r="D8" s="35">
        <f t="shared" si="0"/>
        <v>61051.6</v>
      </c>
      <c r="E8" s="44">
        <v>0.3</v>
      </c>
      <c r="F8" s="45">
        <f t="shared" si="1"/>
        <v>18315.48</v>
      </c>
      <c r="G8" s="35">
        <f t="shared" si="2"/>
        <v>42736.119999999995</v>
      </c>
      <c r="H8" s="48">
        <f>E29</f>
        <v>3561.3433333333328</v>
      </c>
    </row>
    <row r="9" spans="1:8">
      <c r="A9" s="37" t="s">
        <v>587</v>
      </c>
      <c r="B9" s="33">
        <v>1</v>
      </c>
      <c r="C9" s="31">
        <v>28530.25</v>
      </c>
      <c r="D9" s="35">
        <f t="shared" si="0"/>
        <v>28530.25</v>
      </c>
      <c r="E9" s="44">
        <v>0</v>
      </c>
      <c r="F9" s="45">
        <f t="shared" si="1"/>
        <v>0</v>
      </c>
      <c r="G9" s="35">
        <f t="shared" si="2"/>
        <v>28530.25</v>
      </c>
      <c r="H9" s="28"/>
    </row>
    <row r="10" spans="1:8">
      <c r="A10" s="28" t="s">
        <v>469</v>
      </c>
      <c r="B10" s="33">
        <v>1</v>
      </c>
      <c r="C10" s="124">
        <v>28000</v>
      </c>
      <c r="D10" s="35">
        <f t="shared" si="0"/>
        <v>28000</v>
      </c>
      <c r="E10" s="34">
        <v>0.5</v>
      </c>
      <c r="F10" s="45">
        <f t="shared" si="1"/>
        <v>14000</v>
      </c>
      <c r="G10" s="35">
        <f t="shared" si="2"/>
        <v>14000</v>
      </c>
      <c r="H10" s="47">
        <f>G29</f>
        <v>4666.666666666667</v>
      </c>
    </row>
    <row r="12" spans="1:8">
      <c r="B12" s="28" t="s">
        <v>138</v>
      </c>
      <c r="C12" s="31">
        <f>SUM(C6:C10)</f>
        <v>528940.50999999989</v>
      </c>
      <c r="D12" s="31">
        <f>SUM(D6:D10)</f>
        <v>528940.50999999989</v>
      </c>
      <c r="F12" s="35">
        <f>SUM(F6:F10)</f>
        <v>155723.07799999998</v>
      </c>
      <c r="G12" s="35">
        <f>SUM(G6:G10)</f>
        <v>373217.43199999991</v>
      </c>
      <c r="H12" s="35">
        <f>SUM(H6:H10)</f>
        <v>32223.931833333329</v>
      </c>
    </row>
    <row r="22" spans="2:8" ht="15">
      <c r="D22" s="50" t="s">
        <v>394</v>
      </c>
      <c r="E22" s="90" t="s">
        <v>254</v>
      </c>
      <c r="F22" s="49" t="s">
        <v>139</v>
      </c>
      <c r="G22" s="90" t="s">
        <v>588</v>
      </c>
      <c r="H22" s="90" t="s">
        <v>587</v>
      </c>
    </row>
    <row r="23" spans="2:8">
      <c r="B23" t="s">
        <v>159</v>
      </c>
      <c r="C23" t="s">
        <v>170</v>
      </c>
    </row>
    <row r="24" spans="2:8">
      <c r="B24" t="s">
        <v>160</v>
      </c>
      <c r="C24" t="s">
        <v>169</v>
      </c>
      <c r="D24" s="35">
        <f>G7</f>
        <v>287951.06199999992</v>
      </c>
      <c r="E24" s="35">
        <f>G8</f>
        <v>42736.119999999995</v>
      </c>
      <c r="F24" s="35">
        <f>H2</f>
        <v>1750000</v>
      </c>
      <c r="G24" s="35">
        <f>G10</f>
        <v>14000</v>
      </c>
      <c r="H24" s="35">
        <f>G9</f>
        <v>28530.25</v>
      </c>
    </row>
    <row r="25" spans="2:8">
      <c r="B25" t="s">
        <v>161</v>
      </c>
      <c r="C25" t="s">
        <v>168</v>
      </c>
      <c r="D25" s="46">
        <v>0</v>
      </c>
      <c r="E25" s="120">
        <v>0</v>
      </c>
      <c r="F25" s="46">
        <v>1.2E-2</v>
      </c>
      <c r="G25" s="120">
        <v>0</v>
      </c>
      <c r="H25" s="296">
        <v>0</v>
      </c>
    </row>
    <row r="26" spans="2:8">
      <c r="B26" t="s">
        <v>162</v>
      </c>
      <c r="C26" t="s">
        <v>167</v>
      </c>
      <c r="D26" s="28">
        <v>12</v>
      </c>
      <c r="E26">
        <v>12</v>
      </c>
      <c r="F26" s="28">
        <v>60</v>
      </c>
      <c r="G26">
        <v>3</v>
      </c>
      <c r="H26" s="28">
        <v>3</v>
      </c>
    </row>
    <row r="27" spans="2:8">
      <c r="B27" t="s">
        <v>163</v>
      </c>
      <c r="C27" t="s">
        <v>166</v>
      </c>
    </row>
    <row r="28" spans="2:8">
      <c r="B28" t="s">
        <v>164</v>
      </c>
      <c r="C28" t="s">
        <v>165</v>
      </c>
    </row>
    <row r="29" spans="2:8" ht="15">
      <c r="B29" s="402" t="s">
        <v>214</v>
      </c>
      <c r="C29" s="402"/>
      <c r="D29" s="47">
        <f>-PMT(D25,D26,D24)</f>
        <v>23995.921833333327</v>
      </c>
      <c r="E29" s="47">
        <f>-PMT(E25,E26,E24)</f>
        <v>3561.3433333333328</v>
      </c>
      <c r="F29" s="47">
        <f>-PMT(F25,F26,F24)</f>
        <v>41083.254307031217</v>
      </c>
      <c r="G29" s="47">
        <f>-PMT(G25,G26,G24)</f>
        <v>4666.666666666667</v>
      </c>
      <c r="H29" s="47">
        <f>-PMT(H25,H26,H24)</f>
        <v>9510.0833333333339</v>
      </c>
    </row>
    <row r="30" spans="2:8" ht="15">
      <c r="B30" s="402" t="s">
        <v>213</v>
      </c>
      <c r="C30" s="402"/>
      <c r="D30" s="47">
        <f>D26*D29</f>
        <v>287951.06199999992</v>
      </c>
      <c r="E30" s="47">
        <f>E26*E29</f>
        <v>42736.119999999995</v>
      </c>
      <c r="F30" s="47">
        <f>F26*F29</f>
        <v>2464995.2584218732</v>
      </c>
      <c r="G30" s="47">
        <f>G26*G29</f>
        <v>14000</v>
      </c>
      <c r="H30" s="47">
        <f>H26*H29</f>
        <v>28530.25</v>
      </c>
    </row>
  </sheetData>
  <mergeCells count="4">
    <mergeCell ref="B30:C30"/>
    <mergeCell ref="B29:C29"/>
    <mergeCell ref="A1:A2"/>
    <mergeCell ref="A5:A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A26D-1540-4982-ADD0-FE06B445A573}">
  <dimension ref="A1:J25"/>
  <sheetViews>
    <sheetView workbookViewId="0">
      <selection activeCell="I9" sqref="I9"/>
    </sheetView>
  </sheetViews>
  <sheetFormatPr defaultRowHeight="14.25"/>
  <cols>
    <col min="1" max="1" width="32" customWidth="1"/>
    <col min="2" max="2" width="11.25" customWidth="1"/>
    <col min="3" max="3" width="15.625" customWidth="1"/>
    <col min="4" max="4" width="12.875" customWidth="1"/>
    <col min="6" max="6" width="10.625" customWidth="1"/>
    <col min="7" max="7" width="10.875" customWidth="1"/>
    <col min="8" max="10" width="12" bestFit="1" customWidth="1"/>
  </cols>
  <sheetData>
    <row r="1" spans="1:10" ht="15">
      <c r="A1" s="290" t="s">
        <v>582</v>
      </c>
      <c r="B1" s="291" t="s">
        <v>576</v>
      </c>
      <c r="F1" s="381" t="s">
        <v>585</v>
      </c>
      <c r="G1" s="382"/>
      <c r="H1" s="382"/>
      <c r="I1" s="382"/>
      <c r="J1" s="383"/>
    </row>
    <row r="2" spans="1:10" ht="15">
      <c r="A2" s="125" t="s">
        <v>575</v>
      </c>
      <c r="B2" s="283">
        <v>4200</v>
      </c>
      <c r="F2" s="118" t="s">
        <v>422</v>
      </c>
      <c r="G2" s="108" t="s">
        <v>292</v>
      </c>
      <c r="H2" s="108" t="s">
        <v>582</v>
      </c>
      <c r="I2" s="108" t="s">
        <v>26</v>
      </c>
      <c r="J2" s="218" t="s">
        <v>138</v>
      </c>
    </row>
    <row r="3" spans="1:10">
      <c r="A3" s="125" t="s">
        <v>577</v>
      </c>
      <c r="B3" s="283">
        <v>3000</v>
      </c>
      <c r="F3" s="125">
        <v>2027</v>
      </c>
      <c r="G3" s="91">
        <v>0.12</v>
      </c>
      <c r="H3" s="129">
        <f t="shared" ref="H3:H7" si="0">D7</f>
        <v>3648</v>
      </c>
      <c r="I3" s="129">
        <f t="shared" ref="I3:I7" si="1">D19</f>
        <v>456</v>
      </c>
      <c r="J3" s="130">
        <f t="shared" ref="J3:J9" si="2">H3+I3</f>
        <v>4104</v>
      </c>
    </row>
    <row r="4" spans="1:10" ht="15" thickBot="1">
      <c r="A4" s="127" t="s">
        <v>578</v>
      </c>
      <c r="B4" s="139">
        <v>0.2</v>
      </c>
      <c r="F4" s="125">
        <v>2028</v>
      </c>
      <c r="G4" s="91">
        <v>0.25</v>
      </c>
      <c r="H4" s="129">
        <f t="shared" si="0"/>
        <v>3960</v>
      </c>
      <c r="I4" s="129">
        <f t="shared" si="1"/>
        <v>625</v>
      </c>
      <c r="J4" s="130">
        <f t="shared" si="2"/>
        <v>4585</v>
      </c>
    </row>
    <row r="5" spans="1:10" ht="15" thickBot="1">
      <c r="F5" s="125">
        <v>2029</v>
      </c>
      <c r="G5" s="91">
        <v>0.4</v>
      </c>
      <c r="H5" s="129">
        <f t="shared" si="0"/>
        <v>4320</v>
      </c>
      <c r="I5" s="129">
        <f t="shared" si="1"/>
        <v>820</v>
      </c>
      <c r="J5" s="130">
        <f t="shared" si="2"/>
        <v>5140</v>
      </c>
    </row>
    <row r="6" spans="1:10" ht="15">
      <c r="A6" s="290" t="s">
        <v>292</v>
      </c>
      <c r="B6" s="292" t="s">
        <v>579</v>
      </c>
      <c r="C6" s="292" t="s">
        <v>580</v>
      </c>
      <c r="D6" s="291" t="s">
        <v>581</v>
      </c>
      <c r="F6" s="125">
        <v>2030</v>
      </c>
      <c r="G6" s="91">
        <v>0.5</v>
      </c>
      <c r="H6" s="129">
        <f t="shared" si="0"/>
        <v>4560</v>
      </c>
      <c r="I6" s="129">
        <f t="shared" si="1"/>
        <v>950</v>
      </c>
      <c r="J6" s="130">
        <f t="shared" si="2"/>
        <v>5510</v>
      </c>
    </row>
    <row r="7" spans="1:10">
      <c r="A7" s="285">
        <f>'Cálcul. trabalhado'!H4</f>
        <v>0.12</v>
      </c>
      <c r="B7" s="284">
        <f>B2</f>
        <v>4200</v>
      </c>
      <c r="C7" s="284">
        <f>B3*A7</f>
        <v>360</v>
      </c>
      <c r="D7" s="286">
        <f>(B2+C7)*(1-B4)</f>
        <v>3648</v>
      </c>
      <c r="F7" s="125">
        <v>2031</v>
      </c>
      <c r="G7" s="91">
        <v>0.6</v>
      </c>
      <c r="H7" s="129">
        <f t="shared" si="0"/>
        <v>4800</v>
      </c>
      <c r="I7" s="129">
        <f t="shared" si="1"/>
        <v>1080</v>
      </c>
      <c r="J7" s="130">
        <f t="shared" si="2"/>
        <v>5880</v>
      </c>
    </row>
    <row r="8" spans="1:10">
      <c r="A8" s="285">
        <f>'Cálcul. trabalhado'!H5</f>
        <v>0.25</v>
      </c>
      <c r="B8" s="284">
        <f>B2</f>
        <v>4200</v>
      </c>
      <c r="C8" s="284">
        <f>B3*A8</f>
        <v>750</v>
      </c>
      <c r="D8" s="286">
        <f>(B2+C8)*(1-B4)</f>
        <v>3960</v>
      </c>
      <c r="F8" s="326" t="s">
        <v>593</v>
      </c>
      <c r="G8" s="91">
        <v>0.7</v>
      </c>
      <c r="H8" s="129">
        <f>D12</f>
        <v>5040</v>
      </c>
      <c r="I8" s="129">
        <f>D24</f>
        <v>1210</v>
      </c>
      <c r="J8" s="130">
        <f t="shared" si="2"/>
        <v>6250</v>
      </c>
    </row>
    <row r="9" spans="1:10" ht="15" thickBot="1">
      <c r="A9" s="285">
        <f>'Cálcul. trabalhado'!H6</f>
        <v>0.4</v>
      </c>
      <c r="B9" s="284">
        <f>B2</f>
        <v>4200</v>
      </c>
      <c r="C9" s="284">
        <f>B3*A9</f>
        <v>1200</v>
      </c>
      <c r="D9" s="286">
        <f>(B2+C9)*(1-B4)</f>
        <v>4320</v>
      </c>
      <c r="F9" s="127">
        <v>2034</v>
      </c>
      <c r="G9" s="105">
        <v>0.75</v>
      </c>
      <c r="H9" s="327">
        <f>D13</f>
        <v>5160</v>
      </c>
      <c r="I9" s="327">
        <f>D25</f>
        <v>1275</v>
      </c>
      <c r="J9" s="328">
        <f t="shared" si="2"/>
        <v>6435</v>
      </c>
    </row>
    <row r="10" spans="1:10">
      <c r="A10" s="285">
        <f>'Cálcul. trabalhado'!H7</f>
        <v>0.5</v>
      </c>
      <c r="B10" s="284">
        <f>B2</f>
        <v>4200</v>
      </c>
      <c r="C10" s="284">
        <f>B3*A10</f>
        <v>1500</v>
      </c>
      <c r="D10" s="286">
        <f>(B2+C10)*(1-B4)</f>
        <v>4560</v>
      </c>
    </row>
    <row r="11" spans="1:10">
      <c r="A11" s="285">
        <f>'Cálcul. trabalhado'!H8</f>
        <v>0.6</v>
      </c>
      <c r="B11" s="284">
        <f>B2</f>
        <v>4200</v>
      </c>
      <c r="C11" s="284">
        <f>B3*A11</f>
        <v>1800</v>
      </c>
      <c r="D11" s="286">
        <f>(B2+C11)*(1-B4)</f>
        <v>4800</v>
      </c>
    </row>
    <row r="12" spans="1:10">
      <c r="A12" s="285">
        <f>'Cálcul. trabalhado'!H9</f>
        <v>0.7</v>
      </c>
      <c r="B12" s="284">
        <f>B2</f>
        <v>4200</v>
      </c>
      <c r="C12" s="284">
        <f>B3*A12</f>
        <v>2100</v>
      </c>
      <c r="D12" s="286">
        <f>(B2+C12)*(1-B4)</f>
        <v>5040</v>
      </c>
    </row>
    <row r="13" spans="1:10" ht="15" thickBot="1">
      <c r="A13" s="289">
        <v>0.75</v>
      </c>
      <c r="B13" s="95">
        <f>B2</f>
        <v>4200</v>
      </c>
      <c r="C13" s="95">
        <f>B3*A13</f>
        <v>2250</v>
      </c>
      <c r="D13" s="287">
        <f>(B2+C13)*(1-B4)</f>
        <v>5160</v>
      </c>
    </row>
    <row r="14" spans="1:10" ht="15">
      <c r="A14" s="324" t="s">
        <v>26</v>
      </c>
      <c r="B14" s="325" t="s">
        <v>576</v>
      </c>
    </row>
    <row r="15" spans="1:10">
      <c r="A15" s="125" t="s">
        <v>583</v>
      </c>
      <c r="B15" s="126">
        <v>300</v>
      </c>
    </row>
    <row r="16" spans="1:10" ht="15" thickBot="1">
      <c r="A16" s="127" t="s">
        <v>577</v>
      </c>
      <c r="B16" s="128">
        <v>1300</v>
      </c>
    </row>
    <row r="17" spans="1:4" ht="15" thickBot="1"/>
    <row r="18" spans="1:4" ht="15">
      <c r="A18" s="293" t="s">
        <v>292</v>
      </c>
      <c r="B18" s="295" t="s">
        <v>579</v>
      </c>
      <c r="C18" s="295" t="s">
        <v>580</v>
      </c>
      <c r="D18" s="294" t="s">
        <v>584</v>
      </c>
    </row>
    <row r="19" spans="1:4">
      <c r="A19" s="288">
        <f>'Cálcul. trabalhado'!H4</f>
        <v>0.12</v>
      </c>
      <c r="B19" s="86">
        <f>B15</f>
        <v>300</v>
      </c>
      <c r="C19" s="86">
        <f>B16*A19</f>
        <v>156</v>
      </c>
      <c r="D19" s="126">
        <f>B15+C19</f>
        <v>456</v>
      </c>
    </row>
    <row r="20" spans="1:4">
      <c r="A20" s="288">
        <f>'Cálcul. trabalhado'!H5</f>
        <v>0.25</v>
      </c>
      <c r="B20" s="86">
        <f>B15</f>
        <v>300</v>
      </c>
      <c r="C20" s="86">
        <f>B16*A20</f>
        <v>325</v>
      </c>
      <c r="D20" s="126">
        <f>B15+C20</f>
        <v>625</v>
      </c>
    </row>
    <row r="21" spans="1:4">
      <c r="A21" s="288">
        <f>'Cálcul. trabalhado'!H6</f>
        <v>0.4</v>
      </c>
      <c r="B21" s="86">
        <f>B15</f>
        <v>300</v>
      </c>
      <c r="C21" s="86">
        <f>B16*A21</f>
        <v>520</v>
      </c>
      <c r="D21" s="126">
        <f>B15+C21</f>
        <v>820</v>
      </c>
    </row>
    <row r="22" spans="1:4">
      <c r="A22" s="288">
        <f>'Cálcul. trabalhado'!H7</f>
        <v>0.5</v>
      </c>
      <c r="B22" s="86">
        <f>B15</f>
        <v>300</v>
      </c>
      <c r="C22" s="86">
        <f>B16*A22</f>
        <v>650</v>
      </c>
      <c r="D22" s="126">
        <f>B15+C22</f>
        <v>950</v>
      </c>
    </row>
    <row r="23" spans="1:4">
      <c r="A23" s="288">
        <f>'Cálcul. trabalhado'!H8</f>
        <v>0.6</v>
      </c>
      <c r="B23" s="86">
        <f>B15</f>
        <v>300</v>
      </c>
      <c r="C23" s="86">
        <f>B16*A23</f>
        <v>780</v>
      </c>
      <c r="D23" s="126">
        <f>B15+C23</f>
        <v>1080</v>
      </c>
    </row>
    <row r="24" spans="1:4">
      <c r="A24" s="288">
        <f>'Cálcul. trabalhado'!H9</f>
        <v>0.7</v>
      </c>
      <c r="B24" s="86">
        <f>B15</f>
        <v>300</v>
      </c>
      <c r="C24" s="86">
        <f>B16*A24</f>
        <v>909.99999999999989</v>
      </c>
      <c r="D24" s="126">
        <f>B15+C24</f>
        <v>1210</v>
      </c>
    </row>
    <row r="25" spans="1:4" ht="15" thickBot="1">
      <c r="A25" s="289">
        <v>0.75</v>
      </c>
      <c r="B25" s="95">
        <f>B15</f>
        <v>300</v>
      </c>
      <c r="C25" s="95">
        <f>B16*A25</f>
        <v>975</v>
      </c>
      <c r="D25" s="128">
        <f>B15+C25</f>
        <v>1275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4E0-1DE5-4FB7-91F7-087EBE572DDD}">
  <dimension ref="A1:AB42"/>
  <sheetViews>
    <sheetView tabSelected="1" workbookViewId="0">
      <selection activeCell="I4" sqref="I4"/>
    </sheetView>
  </sheetViews>
  <sheetFormatPr defaultRowHeight="14.25"/>
  <cols>
    <col min="1" max="1" width="26.625" customWidth="1"/>
    <col min="2" max="2" width="14.125" bestFit="1" customWidth="1"/>
    <col min="3" max="3" width="23" bestFit="1" customWidth="1"/>
    <col min="4" max="4" width="13.25" bestFit="1" customWidth="1"/>
    <col min="5" max="5" width="12.875" bestFit="1" customWidth="1"/>
    <col min="6" max="6" width="15.5" customWidth="1"/>
    <col min="7" max="7" width="22" bestFit="1" customWidth="1"/>
    <col min="8" max="8" width="23" bestFit="1" customWidth="1"/>
    <col min="9" max="9" width="14.125" bestFit="1" customWidth="1"/>
    <col min="10" max="10" width="12.875" bestFit="1" customWidth="1"/>
    <col min="11" max="12" width="10.625" bestFit="1" customWidth="1"/>
    <col min="13" max="13" width="17.125" customWidth="1"/>
    <col min="14" max="14" width="10.625" bestFit="1" customWidth="1"/>
    <col min="15" max="15" width="16.375" bestFit="1" customWidth="1"/>
    <col min="20" max="20" width="9.875" bestFit="1" customWidth="1"/>
  </cols>
  <sheetData>
    <row r="1" spans="1:28" ht="15">
      <c r="A1" s="229" t="s">
        <v>122</v>
      </c>
      <c r="B1" s="230">
        <f>'[1]Cronograma de ativ.'!B63</f>
        <v>46342</v>
      </c>
      <c r="C1" s="406">
        <f>_xlfn.DAYS(B2,B1)</f>
        <v>45</v>
      </c>
      <c r="D1" s="232"/>
      <c r="E1" s="407"/>
      <c r="F1" s="221" t="s">
        <v>217</v>
      </c>
      <c r="G1" s="222">
        <v>10</v>
      </c>
      <c r="H1" s="223" t="s">
        <v>185</v>
      </c>
      <c r="I1" s="169" t="s">
        <v>184</v>
      </c>
      <c r="J1" s="34"/>
      <c r="K1" s="28"/>
      <c r="M1" s="387" t="s">
        <v>516</v>
      </c>
      <c r="N1" s="387"/>
      <c r="O1" s="387"/>
      <c r="P1" s="387"/>
      <c r="S1" s="387" t="s">
        <v>530</v>
      </c>
      <c r="T1" s="387"/>
      <c r="U1" s="387"/>
      <c r="V1" s="387"/>
    </row>
    <row r="2" spans="1:28" ht="15">
      <c r="A2" s="233"/>
      <c r="B2" s="29">
        <v>46387</v>
      </c>
      <c r="C2" s="407"/>
      <c r="D2" s="234"/>
      <c r="E2" s="407"/>
      <c r="F2" s="170" t="s">
        <v>183</v>
      </c>
      <c r="G2" s="209"/>
      <c r="H2" s="210">
        <v>1</v>
      </c>
      <c r="I2" s="220">
        <f>(($B$14+$D$14)*H2)</f>
        <v>0</v>
      </c>
      <c r="J2" s="211"/>
      <c r="K2" s="219"/>
      <c r="M2" s="173" t="s">
        <v>125</v>
      </c>
      <c r="N2" s="173">
        <v>46388</v>
      </c>
      <c r="O2" s="85" t="s">
        <v>517</v>
      </c>
      <c r="P2" s="85"/>
      <c r="S2" s="175" t="s">
        <v>533</v>
      </c>
      <c r="T2" s="203">
        <v>46341</v>
      </c>
      <c r="U2" s="387" t="s">
        <v>521</v>
      </c>
      <c r="V2" s="387"/>
    </row>
    <row r="3" spans="1:28" s="37" customFormat="1" ht="15">
      <c r="A3" s="235">
        <v>2026</v>
      </c>
      <c r="B3" s="167" t="s">
        <v>120</v>
      </c>
      <c r="D3" s="236" t="s">
        <v>121</v>
      </c>
      <c r="F3" s="170" t="s">
        <v>183</v>
      </c>
      <c r="G3" s="209">
        <v>2026</v>
      </c>
      <c r="H3" s="210">
        <v>0.03</v>
      </c>
      <c r="I3" s="220">
        <f>((B13+D13)*H3)</f>
        <v>4907.625</v>
      </c>
      <c r="J3" s="211"/>
      <c r="K3" s="219"/>
      <c r="M3" s="173" t="s">
        <v>126</v>
      </c>
      <c r="N3" s="173">
        <v>46412</v>
      </c>
      <c r="O3" s="85" t="s">
        <v>518</v>
      </c>
      <c r="P3" s="85"/>
      <c r="S3" s="175" t="s">
        <v>125</v>
      </c>
      <c r="T3" s="206">
        <v>46346</v>
      </c>
      <c r="U3" s="387" t="s">
        <v>531</v>
      </c>
      <c r="V3" s="387"/>
    </row>
    <row r="4" spans="1:28" ht="15">
      <c r="A4" s="233" t="s">
        <v>118</v>
      </c>
      <c r="B4" s="237">
        <v>6.208333333333333</v>
      </c>
      <c r="C4" t="s">
        <v>118</v>
      </c>
      <c r="D4" s="238">
        <v>6.333333333333333</v>
      </c>
      <c r="F4" s="170" t="s">
        <v>183</v>
      </c>
      <c r="G4" s="209">
        <v>2027</v>
      </c>
      <c r="H4" s="34">
        <v>0.12</v>
      </c>
      <c r="I4" s="220">
        <f>((B26+D26)*H4)</f>
        <v>26432.749999999996</v>
      </c>
      <c r="J4" s="211"/>
      <c r="K4" s="219"/>
      <c r="M4" s="173" t="s">
        <v>126</v>
      </c>
      <c r="N4" s="173">
        <v>46426</v>
      </c>
      <c r="O4" s="85" t="s">
        <v>134</v>
      </c>
      <c r="P4" s="85"/>
      <c r="S4" s="175" t="s">
        <v>125</v>
      </c>
      <c r="T4" s="203">
        <v>46381</v>
      </c>
      <c r="U4" s="387" t="s">
        <v>127</v>
      </c>
      <c r="V4" s="387"/>
    </row>
    <row r="5" spans="1:28" ht="15">
      <c r="A5" s="233" t="s">
        <v>119</v>
      </c>
      <c r="B5" s="237">
        <v>6.916666666666667</v>
      </c>
      <c r="C5" t="s">
        <v>119</v>
      </c>
      <c r="D5" s="238">
        <v>6.625</v>
      </c>
      <c r="F5" s="170" t="s">
        <v>183</v>
      </c>
      <c r="G5" s="209">
        <v>2028</v>
      </c>
      <c r="H5" s="210">
        <v>0.25</v>
      </c>
      <c r="I5" s="220">
        <f>(B40+D40)*H5</f>
        <v>55271.874999999993</v>
      </c>
      <c r="J5" s="211"/>
      <c r="K5" s="219"/>
      <c r="M5" s="173" t="s">
        <v>124</v>
      </c>
      <c r="N5" s="173">
        <v>46427</v>
      </c>
      <c r="O5" s="85" t="s">
        <v>134</v>
      </c>
      <c r="P5" s="85"/>
      <c r="S5" s="175" t="s">
        <v>123</v>
      </c>
      <c r="T5" s="203">
        <v>46387</v>
      </c>
      <c r="U5" s="387" t="s">
        <v>532</v>
      </c>
      <c r="V5" s="387"/>
    </row>
    <row r="6" spans="1:28" ht="15">
      <c r="A6" s="233" t="s">
        <v>528</v>
      </c>
      <c r="B6">
        <v>17</v>
      </c>
      <c r="D6" s="239">
        <v>7</v>
      </c>
      <c r="F6" s="170" t="s">
        <v>183</v>
      </c>
      <c r="G6" s="209">
        <v>2029</v>
      </c>
      <c r="H6" s="210">
        <v>0.4</v>
      </c>
      <c r="I6" s="220">
        <f>(B40+D40)*H6</f>
        <v>88435</v>
      </c>
      <c r="J6" s="211"/>
      <c r="K6" s="219"/>
      <c r="M6" s="85" t="s">
        <v>135</v>
      </c>
      <c r="N6" s="173">
        <v>46428</v>
      </c>
      <c r="O6" s="85" t="s">
        <v>136</v>
      </c>
      <c r="P6" s="85"/>
    </row>
    <row r="7" spans="1:28" ht="15">
      <c r="A7" s="233" t="s">
        <v>181</v>
      </c>
      <c r="B7">
        <f>U9</f>
        <v>31</v>
      </c>
      <c r="D7" s="239">
        <f>U10</f>
        <v>6</v>
      </c>
      <c r="F7" s="170" t="s">
        <v>183</v>
      </c>
      <c r="G7" s="209">
        <v>2030</v>
      </c>
      <c r="H7" s="210">
        <v>0.5</v>
      </c>
      <c r="I7" s="220">
        <f>(B40+D40)*H7</f>
        <v>110543.74999999999</v>
      </c>
      <c r="J7" s="211"/>
      <c r="K7" s="219"/>
      <c r="M7" s="173" t="s">
        <v>135</v>
      </c>
      <c r="N7" s="173">
        <v>46498</v>
      </c>
      <c r="O7" s="85" t="s">
        <v>130</v>
      </c>
      <c r="P7" s="85"/>
    </row>
    <row r="8" spans="1:28" ht="15">
      <c r="A8" s="233" t="s">
        <v>470</v>
      </c>
      <c r="B8" s="240">
        <f>$B$6*B7</f>
        <v>527</v>
      </c>
      <c r="D8" s="241">
        <f>D6*D7</f>
        <v>42</v>
      </c>
      <c r="F8" s="170" t="s">
        <v>183</v>
      </c>
      <c r="G8" s="209">
        <v>2031</v>
      </c>
      <c r="H8" s="210">
        <v>0.6</v>
      </c>
      <c r="I8" s="220">
        <f>(B40+D40)*H8</f>
        <v>132652.49999999997</v>
      </c>
      <c r="J8" s="211"/>
      <c r="K8" s="219"/>
      <c r="M8" s="173" t="s">
        <v>121</v>
      </c>
      <c r="N8" s="173">
        <v>46508</v>
      </c>
      <c r="O8" s="85" t="s">
        <v>519</v>
      </c>
      <c r="P8" s="85"/>
      <c r="S8" s="86"/>
      <c r="T8" s="85" t="s">
        <v>180</v>
      </c>
      <c r="U8" s="85">
        <v>46</v>
      </c>
      <c r="V8" s="86"/>
    </row>
    <row r="9" spans="1:28" ht="15">
      <c r="A9" s="233" t="s">
        <v>529</v>
      </c>
      <c r="B9" s="242">
        <f>K29</f>
        <v>57.5</v>
      </c>
      <c r="C9" s="242"/>
      <c r="D9" s="243">
        <f>K29</f>
        <v>57.5</v>
      </c>
      <c r="F9" s="170" t="s">
        <v>183</v>
      </c>
      <c r="G9" s="209" t="s">
        <v>592</v>
      </c>
      <c r="H9" s="210">
        <v>0.7</v>
      </c>
      <c r="I9" s="220">
        <f>(B40+D40)*H9</f>
        <v>154761.24999999997</v>
      </c>
      <c r="M9" s="173" t="s">
        <v>125</v>
      </c>
      <c r="N9" s="203">
        <v>46577</v>
      </c>
      <c r="O9" s="85" t="s">
        <v>523</v>
      </c>
      <c r="P9" s="85"/>
      <c r="S9" s="85"/>
      <c r="T9" s="85" t="s">
        <v>131</v>
      </c>
      <c r="U9" s="84">
        <f>SUM(U8)-(U10+U11+U12)</f>
        <v>31</v>
      </c>
      <c r="V9" s="86"/>
    </row>
    <row r="10" spans="1:28" ht="15.75" thickBot="1">
      <c r="A10" s="233" t="s">
        <v>471</v>
      </c>
      <c r="B10" s="244">
        <f>B9*B8</f>
        <v>30302.5</v>
      </c>
      <c r="C10" s="242"/>
      <c r="D10" s="245">
        <f>D9*D8</f>
        <v>2415</v>
      </c>
      <c r="F10" s="316" t="s">
        <v>183</v>
      </c>
      <c r="G10" s="317">
        <v>2034</v>
      </c>
      <c r="H10" s="318">
        <v>0.75</v>
      </c>
      <c r="I10" s="335">
        <f>(B40+D40)*H10</f>
        <v>165815.62499999997</v>
      </c>
      <c r="M10" s="173" t="s">
        <v>124</v>
      </c>
      <c r="N10" s="173">
        <v>46637</v>
      </c>
      <c r="O10" s="85" t="s">
        <v>129</v>
      </c>
      <c r="P10" s="85"/>
      <c r="S10" s="86"/>
      <c r="T10" s="85" t="s">
        <v>132</v>
      </c>
      <c r="U10" s="84">
        <v>6</v>
      </c>
      <c r="V10" s="86"/>
    </row>
    <row r="11" spans="1:28" ht="15" thickBot="1">
      <c r="A11" s="233" t="s">
        <v>526</v>
      </c>
      <c r="B11" s="246">
        <v>2</v>
      </c>
      <c r="D11" s="247">
        <v>2</v>
      </c>
      <c r="K11" s="35"/>
      <c r="M11" s="173" t="s">
        <v>124</v>
      </c>
      <c r="N11" s="173">
        <v>46672</v>
      </c>
      <c r="O11" s="85" t="s">
        <v>520</v>
      </c>
      <c r="P11" s="85"/>
      <c r="S11" s="86"/>
      <c r="T11" s="85" t="s">
        <v>133</v>
      </c>
      <c r="U11" s="85">
        <v>6</v>
      </c>
      <c r="V11" s="86"/>
    </row>
    <row r="12" spans="1:28" ht="15">
      <c r="A12" s="233" t="s">
        <v>527</v>
      </c>
      <c r="B12" s="244">
        <f>B10/B11</f>
        <v>15151.25</v>
      </c>
      <c r="C12" s="242"/>
      <c r="D12" s="245">
        <f>D10/D11</f>
        <v>1207.5</v>
      </c>
      <c r="F12" s="168" t="s">
        <v>199</v>
      </c>
      <c r="G12" s="224">
        <v>3.5000000000000003E-2</v>
      </c>
      <c r="H12" s="225"/>
      <c r="I12" s="226">
        <f t="shared" ref="I12:I18" si="0">G12*I3</f>
        <v>171.76687500000003</v>
      </c>
      <c r="M12" s="173" t="s">
        <v>124</v>
      </c>
      <c r="N12" s="173">
        <v>46693</v>
      </c>
      <c r="O12" s="85" t="s">
        <v>128</v>
      </c>
      <c r="P12" s="85"/>
      <c r="S12" s="86"/>
      <c r="T12" s="85" t="s">
        <v>137</v>
      </c>
      <c r="U12" s="85">
        <v>3</v>
      </c>
      <c r="V12" s="86"/>
    </row>
    <row r="13" spans="1:28" ht="15.75" thickBot="1">
      <c r="A13" s="248" t="s">
        <v>534</v>
      </c>
      <c r="B13" s="249">
        <f>B12*G1</f>
        <v>151512.5</v>
      </c>
      <c r="C13" s="250"/>
      <c r="D13" s="251">
        <f>D12*G1</f>
        <v>12075</v>
      </c>
      <c r="F13" s="171" t="s">
        <v>200</v>
      </c>
      <c r="G13" s="46">
        <v>3.5000000000000003E-2</v>
      </c>
      <c r="I13" s="227">
        <f t="shared" si="0"/>
        <v>925.14625000000001</v>
      </c>
      <c r="M13" s="173" t="s">
        <v>126</v>
      </c>
      <c r="N13" s="173">
        <v>46706</v>
      </c>
      <c r="O13" s="85" t="s">
        <v>521</v>
      </c>
      <c r="P13" s="85"/>
    </row>
    <row r="14" spans="1:28" ht="15.75" thickBot="1">
      <c r="B14" s="51"/>
      <c r="D14" s="51"/>
      <c r="F14" s="171" t="s">
        <v>201</v>
      </c>
      <c r="G14" s="46">
        <v>3.5000000000000003E-2</v>
      </c>
      <c r="I14" s="227">
        <f t="shared" si="0"/>
        <v>1934.515625</v>
      </c>
      <c r="M14" s="204" t="s">
        <v>121</v>
      </c>
      <c r="N14" s="29">
        <v>46711</v>
      </c>
      <c r="O14" s="205" t="s">
        <v>531</v>
      </c>
      <c r="P14" s="85"/>
    </row>
    <row r="15" spans="1:28" ht="15.75" thickBot="1">
      <c r="F15" s="171" t="s">
        <v>202</v>
      </c>
      <c r="G15" s="46">
        <v>3.5000000000000003E-2</v>
      </c>
      <c r="I15" s="227">
        <f t="shared" si="0"/>
        <v>3095.2250000000004</v>
      </c>
      <c r="M15" s="173" t="s">
        <v>121</v>
      </c>
      <c r="N15" s="173">
        <v>46746</v>
      </c>
      <c r="O15" s="85" t="s">
        <v>127</v>
      </c>
      <c r="P15" s="86"/>
      <c r="S15" s="381" t="s">
        <v>543</v>
      </c>
      <c r="T15" s="382"/>
      <c r="U15" s="382"/>
      <c r="V15" s="382"/>
      <c r="W15" s="382"/>
      <c r="X15" s="382"/>
      <c r="Y15" s="383"/>
    </row>
    <row r="16" spans="1:28" ht="15">
      <c r="A16" s="252">
        <v>2027</v>
      </c>
      <c r="B16" s="231" t="s">
        <v>120</v>
      </c>
      <c r="C16" s="253"/>
      <c r="D16" s="254" t="s">
        <v>121</v>
      </c>
      <c r="F16" s="171" t="s">
        <v>203</v>
      </c>
      <c r="G16" s="46">
        <v>3.5000000000000003E-2</v>
      </c>
      <c r="I16" s="227">
        <f t="shared" si="0"/>
        <v>3869.03125</v>
      </c>
      <c r="M16" s="85" t="s">
        <v>125</v>
      </c>
      <c r="N16" s="173">
        <v>46752</v>
      </c>
      <c r="O16" s="85" t="s">
        <v>522</v>
      </c>
      <c r="P16" s="86"/>
      <c r="S16" s="118" t="s">
        <v>422</v>
      </c>
      <c r="T16" s="108" t="s">
        <v>540</v>
      </c>
      <c r="U16" s="108" t="s">
        <v>541</v>
      </c>
      <c r="V16" s="108" t="s">
        <v>133</v>
      </c>
      <c r="W16" s="108" t="s">
        <v>137</v>
      </c>
      <c r="X16" s="108" t="s">
        <v>435</v>
      </c>
      <c r="Y16" s="218"/>
      <c r="Z16" s="215" t="s">
        <v>542</v>
      </c>
      <c r="AA16" s="213" t="s">
        <v>435</v>
      </c>
      <c r="AB16" s="214" t="s">
        <v>132</v>
      </c>
    </row>
    <row r="17" spans="1:28">
      <c r="A17" s="233" t="s">
        <v>118</v>
      </c>
      <c r="B17" s="237">
        <v>6.208333333333333</v>
      </c>
      <c r="C17" t="s">
        <v>118</v>
      </c>
      <c r="D17" s="238">
        <v>6.333333333333333</v>
      </c>
      <c r="F17" s="171" t="s">
        <v>204</v>
      </c>
      <c r="G17" s="46">
        <v>3.5000000000000003E-2</v>
      </c>
      <c r="I17" s="227">
        <f t="shared" si="0"/>
        <v>4642.8374999999996</v>
      </c>
      <c r="S17" s="125">
        <v>2028</v>
      </c>
      <c r="T17" s="86">
        <v>366</v>
      </c>
      <c r="U17" s="86">
        <v>53</v>
      </c>
      <c r="V17" s="86">
        <v>53</v>
      </c>
      <c r="W17" s="86">
        <v>12</v>
      </c>
      <c r="X17" s="86">
        <f>T17-U17-V17-W17</f>
        <v>248</v>
      </c>
      <c r="Y17" s="126"/>
      <c r="Z17" s="216"/>
      <c r="AA17" s="86">
        <f>AVERAGE(X17:X21)</f>
        <v>250.2</v>
      </c>
      <c r="AB17" s="126">
        <f>AVERAGE(U17:U21)</f>
        <v>52.2</v>
      </c>
    </row>
    <row r="18" spans="1:28" ht="15" thickBot="1">
      <c r="A18" s="233" t="s">
        <v>119</v>
      </c>
      <c r="B18" s="237">
        <v>6.916666666666667</v>
      </c>
      <c r="C18" t="s">
        <v>119</v>
      </c>
      <c r="D18" s="238">
        <v>6.625</v>
      </c>
      <c r="F18" s="171" t="s">
        <v>594</v>
      </c>
      <c r="G18" s="46">
        <v>3.5000000000000003E-2</v>
      </c>
      <c r="I18" s="227">
        <f t="shared" si="0"/>
        <v>5416.6437499999993</v>
      </c>
      <c r="M18" s="86"/>
      <c r="N18" s="85" t="s">
        <v>524</v>
      </c>
      <c r="O18" s="85">
        <v>365</v>
      </c>
      <c r="P18" s="86"/>
      <c r="S18" s="125">
        <v>2029</v>
      </c>
      <c r="T18" s="86">
        <v>365</v>
      </c>
      <c r="U18" s="86">
        <v>52</v>
      </c>
      <c r="V18" s="86">
        <v>52</v>
      </c>
      <c r="W18" s="86">
        <v>13</v>
      </c>
      <c r="X18" s="86">
        <f t="shared" ref="X18:X21" si="1">T18-U18-V18-W18</f>
        <v>248</v>
      </c>
      <c r="Y18" s="126"/>
      <c r="Z18" s="217"/>
      <c r="AA18" s="95">
        <v>250</v>
      </c>
      <c r="AB18" s="128">
        <v>52</v>
      </c>
    </row>
    <row r="19" spans="1:28" ht="15.75" thickBot="1">
      <c r="A19" s="233" t="s">
        <v>528</v>
      </c>
      <c r="B19">
        <v>17</v>
      </c>
      <c r="D19" s="239">
        <v>7</v>
      </c>
      <c r="F19" s="334" t="s">
        <v>595</v>
      </c>
      <c r="G19" s="228">
        <v>3.5000000000000003E-2</v>
      </c>
      <c r="H19" s="212"/>
      <c r="I19" s="335">
        <f>I10*G19</f>
        <v>5803.5468749999991</v>
      </c>
      <c r="M19" s="85"/>
      <c r="N19" s="85" t="s">
        <v>131</v>
      </c>
      <c r="O19" s="84">
        <f>SUM(O18)-(O20+O21+O22)</f>
        <v>249</v>
      </c>
      <c r="P19" s="86"/>
      <c r="S19" s="125">
        <v>2030</v>
      </c>
      <c r="T19" s="86">
        <v>365</v>
      </c>
      <c r="U19" s="86">
        <v>52</v>
      </c>
      <c r="V19" s="86">
        <v>52</v>
      </c>
      <c r="W19" s="86">
        <v>10</v>
      </c>
      <c r="X19" s="86">
        <f t="shared" si="1"/>
        <v>251</v>
      </c>
      <c r="Y19" s="126"/>
    </row>
    <row r="20" spans="1:28" ht="15">
      <c r="A20" s="233" t="s">
        <v>181</v>
      </c>
      <c r="B20">
        <f>O19</f>
        <v>249</v>
      </c>
      <c r="D20" s="239">
        <f>O20</f>
        <v>52</v>
      </c>
      <c r="L20" s="35"/>
      <c r="M20" s="86"/>
      <c r="N20" s="85" t="s">
        <v>132</v>
      </c>
      <c r="O20" s="84">
        <v>52</v>
      </c>
      <c r="P20" s="86"/>
      <c r="S20" s="125">
        <v>2031</v>
      </c>
      <c r="T20" s="86">
        <v>365</v>
      </c>
      <c r="U20" s="86">
        <v>52</v>
      </c>
      <c r="V20" s="86">
        <v>52</v>
      </c>
      <c r="W20" s="86">
        <v>9</v>
      </c>
      <c r="X20" s="86">
        <f t="shared" si="1"/>
        <v>252</v>
      </c>
      <c r="Y20" s="126"/>
    </row>
    <row r="21" spans="1:28" ht="15.75" thickBot="1">
      <c r="A21" s="233" t="s">
        <v>470</v>
      </c>
      <c r="B21" s="240">
        <f>$B$19*B20</f>
        <v>4233</v>
      </c>
      <c r="D21" s="241">
        <f>D19*D20</f>
        <v>364</v>
      </c>
      <c r="E21" s="73"/>
      <c r="L21" s="35"/>
      <c r="M21" s="86"/>
      <c r="N21" s="85" t="s">
        <v>133</v>
      </c>
      <c r="O21" s="85">
        <v>52</v>
      </c>
      <c r="P21" s="86"/>
      <c r="S21" s="127">
        <v>2032</v>
      </c>
      <c r="T21" s="95">
        <v>366</v>
      </c>
      <c r="U21" s="95">
        <v>52</v>
      </c>
      <c r="V21" s="95">
        <v>52</v>
      </c>
      <c r="W21" s="95">
        <v>10</v>
      </c>
      <c r="X21" s="95">
        <f t="shared" si="1"/>
        <v>252</v>
      </c>
      <c r="Y21" s="128"/>
    </row>
    <row r="22" spans="1:28">
      <c r="A22" s="233" t="s">
        <v>529</v>
      </c>
      <c r="B22" s="242">
        <f>K29</f>
        <v>57.5</v>
      </c>
      <c r="D22" s="243">
        <f>K29</f>
        <v>57.5</v>
      </c>
      <c r="L22" s="35"/>
      <c r="M22" s="86"/>
      <c r="N22" s="85" t="s">
        <v>137</v>
      </c>
      <c r="O22" s="85">
        <v>12</v>
      </c>
      <c r="P22" s="86"/>
    </row>
    <row r="23" spans="1:28" ht="15">
      <c r="A23" s="233" t="s">
        <v>471</v>
      </c>
      <c r="B23" s="244">
        <f>B22*B21</f>
        <v>243397.5</v>
      </c>
      <c r="D23" s="245">
        <f>D22*D21</f>
        <v>20930</v>
      </c>
      <c r="L23" s="35"/>
    </row>
    <row r="24" spans="1:28">
      <c r="A24" s="233" t="s">
        <v>526</v>
      </c>
      <c r="B24" s="246">
        <v>12</v>
      </c>
      <c r="D24" s="247">
        <v>12</v>
      </c>
    </row>
    <row r="25" spans="1:28" ht="15">
      <c r="A25" s="233" t="s">
        <v>527</v>
      </c>
      <c r="B25" s="244">
        <f>B23/B24</f>
        <v>20283.125</v>
      </c>
      <c r="D25" s="245">
        <f>D23/D24</f>
        <v>1744.1666666666667</v>
      </c>
    </row>
    <row r="26" spans="1:28" ht="15.75" thickBot="1">
      <c r="A26" s="248" t="s">
        <v>525</v>
      </c>
      <c r="B26" s="249">
        <f>B25*G1</f>
        <v>202831.25</v>
      </c>
      <c r="C26" s="212"/>
      <c r="D26" s="251">
        <f>D25*G1</f>
        <v>17441.666666666668</v>
      </c>
    </row>
    <row r="27" spans="1:28" ht="15">
      <c r="B27" s="51"/>
      <c r="D27" s="51"/>
      <c r="F27" s="404" t="s">
        <v>230</v>
      </c>
      <c r="G27" s="404"/>
      <c r="H27" s="404"/>
      <c r="I27" s="404"/>
      <c r="J27" s="405"/>
      <c r="K27" s="86"/>
    </row>
    <row r="28" spans="1:28" ht="15">
      <c r="F28" s="84" t="s">
        <v>231</v>
      </c>
      <c r="G28" s="84" t="s">
        <v>232</v>
      </c>
      <c r="H28" s="84" t="s">
        <v>228</v>
      </c>
      <c r="I28" s="86"/>
      <c r="J28" s="84" t="s">
        <v>218</v>
      </c>
      <c r="K28" s="84" t="s">
        <v>233</v>
      </c>
    </row>
    <row r="29" spans="1:28" ht="15" thickBot="1">
      <c r="F29" s="85" t="s">
        <v>221</v>
      </c>
      <c r="G29" s="207">
        <v>0.4</v>
      </c>
      <c r="H29" s="208" t="str">
        <f>'Benefícios Personal'!B2</f>
        <v>110-200+</v>
      </c>
      <c r="I29" s="85"/>
      <c r="J29" s="87">
        <f>'Benefícios Personal'!B3</f>
        <v>50</v>
      </c>
      <c r="K29" s="408">
        <f>AVERAGE(J29:J32)</f>
        <v>57.5</v>
      </c>
    </row>
    <row r="30" spans="1:28" ht="15">
      <c r="A30" s="252" t="s">
        <v>539</v>
      </c>
      <c r="B30" s="231" t="s">
        <v>120</v>
      </c>
      <c r="C30" s="253"/>
      <c r="D30" s="254" t="s">
        <v>121</v>
      </c>
      <c r="F30" s="85" t="s">
        <v>222</v>
      </c>
      <c r="G30" s="207">
        <v>0.3</v>
      </c>
      <c r="H30" s="208" t="str">
        <f>'Benefícios Personal'!C2</f>
        <v>71-110</v>
      </c>
      <c r="I30" s="85"/>
      <c r="J30" s="87">
        <f>'Benefícios Personal'!C3</f>
        <v>55</v>
      </c>
      <c r="K30" s="408"/>
    </row>
    <row r="31" spans="1:28">
      <c r="A31" s="233" t="s">
        <v>118</v>
      </c>
      <c r="B31" s="237">
        <v>6.208333333333333</v>
      </c>
      <c r="C31" t="s">
        <v>118</v>
      </c>
      <c r="D31" s="238">
        <v>6.333333333333333</v>
      </c>
      <c r="F31" s="85" t="s">
        <v>229</v>
      </c>
      <c r="G31" s="207">
        <v>0.2</v>
      </c>
      <c r="H31" s="208" t="str">
        <f>'Benefícios Personal'!D2</f>
        <v>41-70</v>
      </c>
      <c r="I31" s="85"/>
      <c r="J31" s="87">
        <f>'Benefícios Personal'!D3</f>
        <v>60</v>
      </c>
      <c r="K31" s="408"/>
    </row>
    <row r="32" spans="1:28">
      <c r="A32" s="233" t="s">
        <v>119</v>
      </c>
      <c r="B32" s="237">
        <v>6.916666666666667</v>
      </c>
      <c r="C32" t="s">
        <v>119</v>
      </c>
      <c r="D32" s="238">
        <v>6.625</v>
      </c>
      <c r="F32" s="85" t="s">
        <v>224</v>
      </c>
      <c r="G32" s="207">
        <v>0.15</v>
      </c>
      <c r="H32" s="208" t="str">
        <f>'Benefícios Personal'!E2</f>
        <v>.4-40</v>
      </c>
      <c r="I32" s="85"/>
      <c r="J32" s="87">
        <f>'Benefícios Personal'!E3</f>
        <v>65</v>
      </c>
      <c r="K32" s="408"/>
    </row>
    <row r="33" spans="1:11">
      <c r="A33" s="233" t="s">
        <v>528</v>
      </c>
      <c r="B33">
        <v>17</v>
      </c>
      <c r="D33" s="239">
        <v>7</v>
      </c>
      <c r="F33" s="86"/>
      <c r="G33" s="86"/>
      <c r="H33" s="86"/>
      <c r="I33" s="86"/>
      <c r="J33" s="86"/>
      <c r="K33" s="86"/>
    </row>
    <row r="34" spans="1:11">
      <c r="A34" s="233" t="s">
        <v>535</v>
      </c>
      <c r="B34">
        <f>AA18</f>
        <v>250</v>
      </c>
      <c r="D34" s="239">
        <f>AB18</f>
        <v>52</v>
      </c>
      <c r="F34" s="86"/>
      <c r="G34" s="86"/>
      <c r="H34" s="86"/>
      <c r="I34" s="86"/>
      <c r="J34" s="86"/>
      <c r="K34" s="86"/>
    </row>
    <row r="35" spans="1:11" ht="15">
      <c r="A35" s="233" t="s">
        <v>536</v>
      </c>
      <c r="B35" s="240">
        <f>B33*B34</f>
        <v>4250</v>
      </c>
      <c r="D35" s="241">
        <f>D33*D34</f>
        <v>364</v>
      </c>
      <c r="F35" s="86"/>
      <c r="G35" s="85"/>
      <c r="H35" s="86"/>
      <c r="I35" s="86"/>
      <c r="J35" s="86"/>
      <c r="K35" s="86"/>
    </row>
    <row r="36" spans="1:11">
      <c r="A36" s="233" t="s">
        <v>529</v>
      </c>
      <c r="B36" s="242">
        <f>K29</f>
        <v>57.5</v>
      </c>
      <c r="D36" s="243">
        <f>K29</f>
        <v>57.5</v>
      </c>
    </row>
    <row r="37" spans="1:11" ht="15">
      <c r="A37" s="233" t="s">
        <v>537</v>
      </c>
      <c r="B37" s="244">
        <f>B35*B36</f>
        <v>244375</v>
      </c>
      <c r="D37" s="245">
        <f>D35*D36</f>
        <v>20930</v>
      </c>
    </row>
    <row r="38" spans="1:11">
      <c r="A38" s="233" t="s">
        <v>538</v>
      </c>
      <c r="B38" s="246">
        <v>12</v>
      </c>
      <c r="D38" s="247">
        <v>12</v>
      </c>
    </row>
    <row r="39" spans="1:11" ht="15">
      <c r="A39" s="233" t="s">
        <v>527</v>
      </c>
      <c r="B39" s="244">
        <f>B37/B38</f>
        <v>20364.583333333332</v>
      </c>
      <c r="D39" s="245">
        <f>D37/D38</f>
        <v>1744.1666666666667</v>
      </c>
    </row>
    <row r="40" spans="1:11" ht="15.75" thickBot="1">
      <c r="A40" s="248" t="s">
        <v>525</v>
      </c>
      <c r="B40" s="249">
        <f>B39*G1</f>
        <v>203645.83333333331</v>
      </c>
      <c r="C40" s="212"/>
      <c r="D40" s="251">
        <f>D39*G1</f>
        <v>17441.666666666668</v>
      </c>
    </row>
    <row r="41" spans="1:11" ht="15">
      <c r="B41" s="51"/>
      <c r="C41" s="34"/>
      <c r="D41" s="51"/>
    </row>
    <row r="42" spans="1:11" ht="15">
      <c r="B42" s="51"/>
      <c r="C42" s="34"/>
      <c r="D42" s="51"/>
    </row>
  </sheetData>
  <mergeCells count="11">
    <mergeCell ref="F27:J27"/>
    <mergeCell ref="C1:C2"/>
    <mergeCell ref="E1:E2"/>
    <mergeCell ref="M1:P1"/>
    <mergeCell ref="K29:K32"/>
    <mergeCell ref="S15:Y15"/>
    <mergeCell ref="S1:V1"/>
    <mergeCell ref="U2:V2"/>
    <mergeCell ref="U3:V3"/>
    <mergeCell ref="U4:V4"/>
    <mergeCell ref="U5:V5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84D3-6AB6-44F7-9FFE-9F5D47A7EFC6}">
  <dimension ref="A1:L103"/>
  <sheetViews>
    <sheetView topLeftCell="A85" workbookViewId="0">
      <selection activeCell="B103" sqref="B103"/>
    </sheetView>
  </sheetViews>
  <sheetFormatPr defaultRowHeight="14.25"/>
  <cols>
    <col min="1" max="1" width="32.125" customWidth="1"/>
    <col min="2" max="2" width="13.125" customWidth="1"/>
    <col min="3" max="3" width="28.75" customWidth="1"/>
    <col min="4" max="4" width="11.875" customWidth="1"/>
    <col min="5" max="8" width="12" bestFit="1" customWidth="1"/>
    <col min="10" max="10" width="23.25" customWidth="1"/>
  </cols>
  <sheetData>
    <row r="1" spans="1:12" ht="15">
      <c r="A1" s="343" t="s">
        <v>641</v>
      </c>
      <c r="B1" s="225"/>
      <c r="C1" s="225"/>
      <c r="D1" s="225"/>
      <c r="E1" s="225"/>
      <c r="F1" s="225"/>
      <c r="G1" s="225"/>
      <c r="H1" s="344"/>
      <c r="J1" s="343" t="s">
        <v>642</v>
      </c>
      <c r="K1" s="225"/>
      <c r="L1" s="344"/>
    </row>
    <row r="2" spans="1:12" ht="15">
      <c r="A2" s="233"/>
      <c r="B2" s="90" t="s">
        <v>604</v>
      </c>
      <c r="C2" s="90" t="s">
        <v>636</v>
      </c>
      <c r="D2" s="90" t="s">
        <v>637</v>
      </c>
      <c r="E2" s="90" t="s">
        <v>638</v>
      </c>
      <c r="F2" s="90" t="s">
        <v>639</v>
      </c>
      <c r="G2" s="90" t="s">
        <v>679</v>
      </c>
      <c r="H2" s="351" t="s">
        <v>680</v>
      </c>
      <c r="J2" s="233"/>
      <c r="K2" s="90" t="s">
        <v>604</v>
      </c>
      <c r="L2" s="351" t="s">
        <v>644</v>
      </c>
    </row>
    <row r="3" spans="1:12">
      <c r="A3" s="233" t="s">
        <v>601</v>
      </c>
      <c r="B3" s="124">
        <f>Financiamento!B2</f>
        <v>19000</v>
      </c>
      <c r="C3" s="246">
        <f t="shared" ref="C3:H4" si="0">B3*1.1</f>
        <v>20900</v>
      </c>
      <c r="D3" s="246">
        <f t="shared" si="0"/>
        <v>22990.000000000004</v>
      </c>
      <c r="E3" s="246">
        <f t="shared" si="0"/>
        <v>25289.000000000007</v>
      </c>
      <c r="F3" s="246">
        <f t="shared" si="0"/>
        <v>27817.900000000009</v>
      </c>
      <c r="G3" s="246">
        <f t="shared" si="0"/>
        <v>30599.690000000013</v>
      </c>
      <c r="H3" s="247">
        <f t="shared" si="0"/>
        <v>33659.659000000014</v>
      </c>
      <c r="J3" s="233" t="s">
        <v>628</v>
      </c>
      <c r="K3" s="355">
        <v>3.5000000000000003E-2</v>
      </c>
      <c r="L3" s="354">
        <v>3.5000000000000003E-2</v>
      </c>
    </row>
    <row r="4" spans="1:12">
      <c r="A4" s="233" t="s">
        <v>602</v>
      </c>
      <c r="B4" s="124">
        <f>Equipe!J6</f>
        <v>3960</v>
      </c>
      <c r="C4" s="246">
        <f t="shared" si="0"/>
        <v>4356</v>
      </c>
      <c r="D4" s="246">
        <f t="shared" si="0"/>
        <v>4791.6000000000004</v>
      </c>
      <c r="E4" s="246">
        <f t="shared" si="0"/>
        <v>5270.7600000000011</v>
      </c>
      <c r="F4" s="246">
        <f t="shared" si="0"/>
        <v>5797.8360000000021</v>
      </c>
      <c r="G4" s="246">
        <f t="shared" si="0"/>
        <v>6377.6196000000027</v>
      </c>
      <c r="H4" s="247">
        <f t="shared" si="0"/>
        <v>7015.3815600000034</v>
      </c>
      <c r="J4" s="233" t="s">
        <v>629</v>
      </c>
      <c r="K4" s="355">
        <v>0.06</v>
      </c>
      <c r="L4" s="345">
        <v>0.1633</v>
      </c>
    </row>
    <row r="5" spans="1:12" ht="15.75" thickBot="1">
      <c r="A5" s="233" t="s">
        <v>603</v>
      </c>
      <c r="B5" s="73">
        <f>Equipe!D10</f>
        <v>5000</v>
      </c>
      <c r="C5" s="246">
        <v>5000</v>
      </c>
      <c r="D5" s="246">
        <v>5500</v>
      </c>
      <c r="E5" s="246">
        <v>5500</v>
      </c>
      <c r="F5" s="350">
        <v>6000</v>
      </c>
      <c r="G5" s="350">
        <v>6000</v>
      </c>
      <c r="H5" s="352">
        <v>6600</v>
      </c>
      <c r="J5" s="347" t="s">
        <v>640</v>
      </c>
      <c r="K5" s="356">
        <f>K3+K4</f>
        <v>9.5000000000000001E-2</v>
      </c>
      <c r="L5" s="357">
        <f>L3+L4</f>
        <v>0.1983</v>
      </c>
    </row>
    <row r="6" spans="1:12">
      <c r="A6" s="233" t="s">
        <v>582</v>
      </c>
      <c r="B6" s="246">
        <f>'Água e luz'!H3</f>
        <v>3648</v>
      </c>
      <c r="C6" s="246">
        <f>'Água e luz'!H4</f>
        <v>3960</v>
      </c>
      <c r="D6" s="246">
        <f>'Água e luz'!H5</f>
        <v>4320</v>
      </c>
      <c r="E6" s="246">
        <f>'Água e luz'!H6</f>
        <v>4560</v>
      </c>
      <c r="F6" s="246">
        <f>'Água e luz'!H7</f>
        <v>4800</v>
      </c>
      <c r="G6" s="246">
        <f>'Água e luz'!H8</f>
        <v>5040</v>
      </c>
      <c r="H6" s="247">
        <f>'Água e luz'!H9</f>
        <v>5160</v>
      </c>
    </row>
    <row r="7" spans="1:12">
      <c r="A7" s="233" t="s">
        <v>26</v>
      </c>
      <c r="B7" s="246">
        <f>'Água e luz'!I3</f>
        <v>456</v>
      </c>
      <c r="C7" s="246">
        <f>'Água e luz'!I4</f>
        <v>625</v>
      </c>
      <c r="D7" s="246">
        <f>'Água e luz'!I5</f>
        <v>820</v>
      </c>
      <c r="E7" s="246">
        <f>'Água e luz'!I6</f>
        <v>950</v>
      </c>
      <c r="F7" s="246">
        <f>'Água e luz'!I7</f>
        <v>1080</v>
      </c>
      <c r="G7" s="246">
        <f>'Água e luz'!I8</f>
        <v>1210</v>
      </c>
      <c r="H7" s="247">
        <f>'Água e luz'!I9</f>
        <v>1275</v>
      </c>
    </row>
    <row r="8" spans="1:12">
      <c r="A8" s="233" t="s">
        <v>152</v>
      </c>
      <c r="B8">
        <v>500</v>
      </c>
      <c r="C8" s="246">
        <f t="shared" ref="C8:H17" si="1">B8*1.1</f>
        <v>550</v>
      </c>
      <c r="D8" s="246">
        <f t="shared" si="1"/>
        <v>605</v>
      </c>
      <c r="E8" s="246">
        <f t="shared" si="1"/>
        <v>665.5</v>
      </c>
      <c r="F8" s="246">
        <f t="shared" si="1"/>
        <v>732.05000000000007</v>
      </c>
      <c r="G8" s="246">
        <f t="shared" si="1"/>
        <v>805.25500000000011</v>
      </c>
      <c r="H8" s="247">
        <f t="shared" si="1"/>
        <v>885.78050000000019</v>
      </c>
    </row>
    <row r="9" spans="1:12">
      <c r="A9" s="233" t="s">
        <v>605</v>
      </c>
      <c r="B9">
        <v>150</v>
      </c>
      <c r="C9" s="246">
        <f>B9*1.1</f>
        <v>165</v>
      </c>
      <c r="D9" s="246">
        <f>C9*1.1</f>
        <v>181.50000000000003</v>
      </c>
      <c r="E9" s="246">
        <f t="shared" si="1"/>
        <v>199.65000000000003</v>
      </c>
      <c r="F9" s="246">
        <f t="shared" si="1"/>
        <v>219.61500000000007</v>
      </c>
      <c r="G9" s="246">
        <f t="shared" si="1"/>
        <v>241.5765000000001</v>
      </c>
      <c r="H9" s="247">
        <f t="shared" si="1"/>
        <v>265.73415000000011</v>
      </c>
    </row>
    <row r="10" spans="1:12">
      <c r="A10" s="233" t="s">
        <v>606</v>
      </c>
      <c r="B10" s="246">
        <v>2000</v>
      </c>
      <c r="C10" s="246">
        <f>B10*1.1</f>
        <v>2200</v>
      </c>
      <c r="D10" s="246">
        <f>C10*1.1</f>
        <v>2420</v>
      </c>
      <c r="E10" s="246">
        <f t="shared" si="1"/>
        <v>2662</v>
      </c>
      <c r="F10" s="246">
        <f t="shared" si="1"/>
        <v>2928.2000000000003</v>
      </c>
      <c r="G10" s="246">
        <f t="shared" si="1"/>
        <v>3221.0200000000004</v>
      </c>
      <c r="H10" s="247">
        <f t="shared" si="1"/>
        <v>3543.1220000000008</v>
      </c>
    </row>
    <row r="11" spans="1:12">
      <c r="A11" s="233" t="s">
        <v>147</v>
      </c>
      <c r="B11" s="246">
        <v>3000</v>
      </c>
      <c r="C11" s="246">
        <f>B11*1.1</f>
        <v>3300.0000000000005</v>
      </c>
      <c r="D11" s="246">
        <f t="shared" ref="D11:D17" si="2">C11*1.1</f>
        <v>3630.0000000000009</v>
      </c>
      <c r="E11" s="246">
        <f t="shared" si="1"/>
        <v>3993.0000000000014</v>
      </c>
      <c r="F11" s="246">
        <f t="shared" si="1"/>
        <v>4392.300000000002</v>
      </c>
      <c r="G11" s="246">
        <f t="shared" si="1"/>
        <v>4831.5300000000025</v>
      </c>
      <c r="H11" s="247">
        <f t="shared" si="1"/>
        <v>5314.6830000000027</v>
      </c>
    </row>
    <row r="12" spans="1:12">
      <c r="A12" s="233" t="s">
        <v>607</v>
      </c>
      <c r="B12" s="246">
        <v>100</v>
      </c>
      <c r="C12" s="246">
        <f>B12*1.1</f>
        <v>110.00000000000001</v>
      </c>
      <c r="D12" s="246">
        <f t="shared" si="2"/>
        <v>121.00000000000003</v>
      </c>
      <c r="E12" s="246">
        <f>D12*1.1</f>
        <v>133.10000000000005</v>
      </c>
      <c r="F12" s="246">
        <f t="shared" si="1"/>
        <v>146.41000000000008</v>
      </c>
      <c r="G12" s="246">
        <f t="shared" si="1"/>
        <v>161.0510000000001</v>
      </c>
      <c r="H12" s="247">
        <f t="shared" si="1"/>
        <v>177.15610000000012</v>
      </c>
    </row>
    <row r="13" spans="1:12">
      <c r="A13" s="233" t="s">
        <v>608</v>
      </c>
      <c r="B13" s="246">
        <v>500</v>
      </c>
      <c r="C13" s="246">
        <f>B13*1.1</f>
        <v>550</v>
      </c>
      <c r="D13" s="246">
        <f t="shared" si="2"/>
        <v>605</v>
      </c>
      <c r="E13" s="246">
        <f t="shared" si="1"/>
        <v>665.5</v>
      </c>
      <c r="F13" s="246">
        <f t="shared" si="1"/>
        <v>732.05000000000007</v>
      </c>
      <c r="G13" s="246">
        <f t="shared" si="1"/>
        <v>805.25500000000011</v>
      </c>
      <c r="H13" s="247">
        <f t="shared" si="1"/>
        <v>885.78050000000019</v>
      </c>
    </row>
    <row r="14" spans="1:12">
      <c r="A14" s="233" t="s">
        <v>609</v>
      </c>
      <c r="B14" s="246">
        <v>1800</v>
      </c>
      <c r="C14" s="246">
        <f>B14*1.1</f>
        <v>1980.0000000000002</v>
      </c>
      <c r="D14" s="246">
        <f t="shared" si="2"/>
        <v>2178.0000000000005</v>
      </c>
      <c r="E14" s="246">
        <f t="shared" si="1"/>
        <v>2395.8000000000006</v>
      </c>
      <c r="F14" s="246">
        <f t="shared" si="1"/>
        <v>2635.380000000001</v>
      </c>
      <c r="G14" s="246">
        <f t="shared" si="1"/>
        <v>2898.9180000000015</v>
      </c>
      <c r="H14" s="247">
        <f t="shared" si="1"/>
        <v>3188.8098000000018</v>
      </c>
    </row>
    <row r="15" spans="1:12">
      <c r="A15" s="233" t="s">
        <v>610</v>
      </c>
      <c r="B15" s="246">
        <v>1000</v>
      </c>
      <c r="C15" s="246">
        <f t="shared" ref="C15:C17" si="3">B15*1.1</f>
        <v>1100</v>
      </c>
      <c r="D15" s="246">
        <f t="shared" si="2"/>
        <v>1210</v>
      </c>
      <c r="E15" s="246">
        <f t="shared" si="1"/>
        <v>1331</v>
      </c>
      <c r="F15" s="246">
        <f t="shared" si="1"/>
        <v>1464.1000000000001</v>
      </c>
      <c r="G15" s="246">
        <f t="shared" si="1"/>
        <v>1610.5100000000002</v>
      </c>
      <c r="H15" s="247">
        <f t="shared" si="1"/>
        <v>1771.5610000000004</v>
      </c>
    </row>
    <row r="16" spans="1:12">
      <c r="A16" s="233" t="s">
        <v>611</v>
      </c>
      <c r="B16" s="246">
        <v>1000</v>
      </c>
      <c r="C16" s="246">
        <f t="shared" si="3"/>
        <v>1100</v>
      </c>
      <c r="D16" s="246">
        <f t="shared" si="2"/>
        <v>1210</v>
      </c>
      <c r="E16" s="246">
        <f t="shared" si="1"/>
        <v>1331</v>
      </c>
      <c r="F16" s="246">
        <f t="shared" si="1"/>
        <v>1464.1000000000001</v>
      </c>
      <c r="G16" s="246">
        <f t="shared" si="1"/>
        <v>1610.5100000000002</v>
      </c>
      <c r="H16" s="247">
        <f t="shared" si="1"/>
        <v>1771.5610000000004</v>
      </c>
    </row>
    <row r="17" spans="1:8">
      <c r="A17" s="233" t="s">
        <v>612</v>
      </c>
      <c r="B17" s="246">
        <v>1893</v>
      </c>
      <c r="C17" s="246">
        <f t="shared" si="3"/>
        <v>2082.3000000000002</v>
      </c>
      <c r="D17" s="246">
        <f t="shared" si="2"/>
        <v>2290.5300000000002</v>
      </c>
      <c r="E17" s="246">
        <f t="shared" si="1"/>
        <v>2519.5830000000005</v>
      </c>
      <c r="F17" s="246">
        <f t="shared" si="1"/>
        <v>2771.5413000000008</v>
      </c>
      <c r="G17" s="246">
        <f t="shared" si="1"/>
        <v>3048.6954300000011</v>
      </c>
      <c r="H17" s="247">
        <f t="shared" si="1"/>
        <v>3353.5649730000014</v>
      </c>
    </row>
    <row r="18" spans="1:8">
      <c r="A18" s="233" t="s">
        <v>643</v>
      </c>
      <c r="B18" s="246">
        <f>'Cálculo kit higiene'!J29</f>
        <v>131.19999999999999</v>
      </c>
      <c r="C18" s="246">
        <f>'Cálculo kit higiene'!J30</f>
        <v>242.4</v>
      </c>
      <c r="D18" s="350">
        <f>'Cálculo kit higiene'!J31</f>
        <v>372.6</v>
      </c>
      <c r="E18" s="246">
        <f>'Cálculo kit higiene'!J32</f>
        <v>464.8</v>
      </c>
      <c r="F18" s="246">
        <f>'Cálculo kit higiene'!J33</f>
        <v>560.79999999999995</v>
      </c>
      <c r="G18" s="246">
        <f>'Cálculo kit higiene'!J34</f>
        <v>653</v>
      </c>
      <c r="H18" s="247">
        <f>'Cálculo kit higiene'!J35</f>
        <v>707.2</v>
      </c>
    </row>
    <row r="19" spans="1:8" ht="15.75" thickBot="1">
      <c r="A19" s="347" t="s">
        <v>613</v>
      </c>
      <c r="B19" s="348">
        <f>SUM(B3:B18)</f>
        <v>44138.2</v>
      </c>
      <c r="C19" s="348">
        <f>SUM(C3:C18)</f>
        <v>48220.700000000004</v>
      </c>
      <c r="D19" s="348">
        <f>SUM(D3:D18)</f>
        <v>53245.23</v>
      </c>
      <c r="E19" s="348">
        <f t="shared" ref="E19:H19" si="4">SUM(E3:E18)</f>
        <v>57930.693000000014</v>
      </c>
      <c r="F19" s="348">
        <f t="shared" si="4"/>
        <v>63542.282300000021</v>
      </c>
      <c r="G19" s="348">
        <f t="shared" si="4"/>
        <v>69114.630530000024</v>
      </c>
      <c r="H19" s="353">
        <f t="shared" si="4"/>
        <v>75574.993583000018</v>
      </c>
    </row>
    <row r="20" spans="1:8" ht="15" thickBot="1"/>
    <row r="21" spans="1:8" ht="15">
      <c r="A21" s="343" t="s">
        <v>614</v>
      </c>
      <c r="B21" s="344"/>
    </row>
    <row r="22" spans="1:8">
      <c r="A22" s="233" t="s">
        <v>294</v>
      </c>
      <c r="B22" s="239">
        <v>17</v>
      </c>
    </row>
    <row r="23" spans="1:8">
      <c r="A23" s="358" t="s">
        <v>615</v>
      </c>
      <c r="B23" s="239">
        <v>5</v>
      </c>
    </row>
    <row r="24" spans="1:8">
      <c r="A24" s="358" t="s">
        <v>616</v>
      </c>
      <c r="B24" s="239">
        <v>7</v>
      </c>
    </row>
    <row r="25" spans="1:8">
      <c r="A25" s="358" t="s">
        <v>617</v>
      </c>
      <c r="B25" s="239">
        <v>10</v>
      </c>
    </row>
    <row r="26" spans="1:8">
      <c r="A26" s="233" t="s">
        <v>667</v>
      </c>
      <c r="B26" s="239">
        <v>250</v>
      </c>
    </row>
    <row r="27" spans="1:8">
      <c r="A27" s="233" t="s">
        <v>668</v>
      </c>
      <c r="B27" s="239">
        <v>52</v>
      </c>
    </row>
    <row r="28" spans="1:8">
      <c r="A28" s="233" t="s">
        <v>669</v>
      </c>
      <c r="B28" s="239">
        <f>B22*B26</f>
        <v>4250</v>
      </c>
    </row>
    <row r="29" spans="1:8">
      <c r="A29" s="233" t="s">
        <v>670</v>
      </c>
      <c r="B29" s="239">
        <f>B24*B27</f>
        <v>364</v>
      </c>
    </row>
    <row r="30" spans="1:8">
      <c r="A30" s="233" t="s">
        <v>671</v>
      </c>
      <c r="B30" s="239">
        <f>B28*B25</f>
        <v>42500</v>
      </c>
    </row>
    <row r="31" spans="1:8">
      <c r="A31" s="233" t="s">
        <v>672</v>
      </c>
      <c r="B31" s="239">
        <f>B29*B25</f>
        <v>3640</v>
      </c>
    </row>
    <row r="32" spans="1:8">
      <c r="A32" s="233" t="s">
        <v>673</v>
      </c>
      <c r="B32" s="239">
        <f>B30+B31</f>
        <v>46140</v>
      </c>
    </row>
    <row r="33" spans="1:4" ht="15.75" thickBot="1">
      <c r="A33" s="248" t="s">
        <v>618</v>
      </c>
      <c r="B33" s="372">
        <f>B32/12</f>
        <v>3845</v>
      </c>
    </row>
    <row r="34" spans="1:4">
      <c r="A34" s="373"/>
    </row>
    <row r="37" spans="1:4" ht="15" thickBot="1"/>
    <row r="38" spans="1:4" ht="15">
      <c r="A38" s="343" t="s">
        <v>619</v>
      </c>
      <c r="B38" s="225"/>
      <c r="C38" s="225"/>
      <c r="D38" s="344"/>
    </row>
    <row r="39" spans="1:4">
      <c r="A39" s="233" t="s">
        <v>422</v>
      </c>
      <c r="B39" t="s">
        <v>292</v>
      </c>
      <c r="C39" t="s">
        <v>620</v>
      </c>
      <c r="D39" s="239" t="s">
        <v>626</v>
      </c>
    </row>
    <row r="40" spans="1:4">
      <c r="A40" s="359">
        <v>1</v>
      </c>
      <c r="B40" s="120">
        <v>0.12</v>
      </c>
      <c r="C40">
        <f>$B$33*B40</f>
        <v>461.4</v>
      </c>
      <c r="D40" s="360">
        <f>C40*$B$63</f>
        <v>26530.5</v>
      </c>
    </row>
    <row r="41" spans="1:4">
      <c r="A41" s="359">
        <v>2</v>
      </c>
      <c r="B41" s="120">
        <v>0.25</v>
      </c>
      <c r="C41">
        <f>$B$33*B41</f>
        <v>961.25</v>
      </c>
      <c r="D41" s="360">
        <f t="shared" ref="D41:D46" si="5">C41*$B$63</f>
        <v>55271.875</v>
      </c>
    </row>
    <row r="42" spans="1:4">
      <c r="A42" s="359">
        <v>3</v>
      </c>
      <c r="B42" s="120">
        <v>0.4</v>
      </c>
      <c r="C42">
        <f>$B$33*B42</f>
        <v>1538</v>
      </c>
      <c r="D42" s="360">
        <f t="shared" si="5"/>
        <v>88435</v>
      </c>
    </row>
    <row r="43" spans="1:4">
      <c r="A43" s="359">
        <v>4</v>
      </c>
      <c r="B43" s="120">
        <v>0.5</v>
      </c>
      <c r="C43">
        <f t="shared" ref="C43:C46" si="6">$B$33*B43</f>
        <v>1922.5</v>
      </c>
      <c r="D43" s="360">
        <f t="shared" si="5"/>
        <v>110543.75</v>
      </c>
    </row>
    <row r="44" spans="1:4">
      <c r="A44" s="359">
        <v>5</v>
      </c>
      <c r="B44" s="120">
        <v>0.6</v>
      </c>
      <c r="C44">
        <f>$B$33*B44</f>
        <v>2307</v>
      </c>
      <c r="D44" s="360">
        <f t="shared" si="5"/>
        <v>132652.5</v>
      </c>
    </row>
    <row r="45" spans="1:4">
      <c r="A45" s="377" t="s">
        <v>674</v>
      </c>
      <c r="B45" s="120">
        <v>0.7</v>
      </c>
      <c r="C45">
        <f t="shared" si="6"/>
        <v>2691.5</v>
      </c>
      <c r="D45" s="360">
        <f t="shared" si="5"/>
        <v>154761.25</v>
      </c>
    </row>
    <row r="46" spans="1:4" ht="15" thickBot="1">
      <c r="A46" s="378">
        <v>8</v>
      </c>
      <c r="B46" s="361">
        <v>0.75</v>
      </c>
      <c r="C46" s="212">
        <f t="shared" si="6"/>
        <v>2883.75</v>
      </c>
      <c r="D46" s="335">
        <f t="shared" si="5"/>
        <v>165815.625</v>
      </c>
    </row>
    <row r="47" spans="1:4" ht="15">
      <c r="A47" s="362" t="s">
        <v>621</v>
      </c>
      <c r="B47" s="239"/>
    </row>
    <row r="48" spans="1:4">
      <c r="A48" s="233" t="s">
        <v>367</v>
      </c>
      <c r="B48" s="239" t="s">
        <v>622</v>
      </c>
    </row>
    <row r="49" spans="1:2">
      <c r="A49" s="233" t="s">
        <v>224</v>
      </c>
      <c r="B49" s="239">
        <v>65</v>
      </c>
    </row>
    <row r="50" spans="1:2">
      <c r="A50" s="233" t="s">
        <v>229</v>
      </c>
      <c r="B50" s="239">
        <v>60</v>
      </c>
    </row>
    <row r="51" spans="1:2">
      <c r="A51" s="233" t="s">
        <v>222</v>
      </c>
      <c r="B51" s="239">
        <v>55</v>
      </c>
    </row>
    <row r="52" spans="1:2">
      <c r="A52" s="233" t="s">
        <v>221</v>
      </c>
      <c r="B52" s="239">
        <v>50</v>
      </c>
    </row>
    <row r="53" spans="1:2">
      <c r="A53" s="233"/>
      <c r="B53" s="239"/>
    </row>
    <row r="54" spans="1:2" ht="15">
      <c r="A54" s="362" t="s">
        <v>623</v>
      </c>
      <c r="B54" s="239"/>
    </row>
    <row r="55" spans="1:2">
      <c r="A55" s="233" t="s">
        <v>624</v>
      </c>
      <c r="B55" s="239"/>
    </row>
    <row r="56" spans="1:2">
      <c r="A56" s="233"/>
      <c r="B56" s="239"/>
    </row>
    <row r="57" spans="1:2">
      <c r="A57" s="233" t="s">
        <v>224</v>
      </c>
      <c r="B57" s="346">
        <v>0.25</v>
      </c>
    </row>
    <row r="58" spans="1:2">
      <c r="A58" s="233" t="s">
        <v>229</v>
      </c>
      <c r="B58" s="346">
        <v>0.25</v>
      </c>
    </row>
    <row r="59" spans="1:2">
      <c r="A59" s="233" t="s">
        <v>222</v>
      </c>
      <c r="B59" s="346">
        <v>0.25</v>
      </c>
    </row>
    <row r="60" spans="1:2">
      <c r="A60" s="233" t="s">
        <v>221</v>
      </c>
      <c r="B60" s="346">
        <v>0.25</v>
      </c>
    </row>
    <row r="61" spans="1:2">
      <c r="A61" s="233"/>
      <c r="B61" s="239"/>
    </row>
    <row r="62" spans="1:2" ht="15">
      <c r="A62" s="362" t="s">
        <v>625</v>
      </c>
      <c r="B62" s="239"/>
    </row>
    <row r="63" spans="1:2" ht="15" thickBot="1">
      <c r="A63" s="248" t="s">
        <v>625</v>
      </c>
      <c r="B63" s="349">
        <f>B49*B57+B50*B58+B51*B59+B52*B60</f>
        <v>57.5</v>
      </c>
    </row>
    <row r="65" spans="1:8" ht="15" thickBot="1"/>
    <row r="66" spans="1:8" ht="15">
      <c r="A66" s="343" t="s">
        <v>635</v>
      </c>
      <c r="B66" s="364" t="s">
        <v>604</v>
      </c>
      <c r="C66" s="364" t="s">
        <v>636</v>
      </c>
      <c r="D66" s="364" t="s">
        <v>637</v>
      </c>
      <c r="E66" s="364" t="s">
        <v>638</v>
      </c>
      <c r="F66" s="364" t="s">
        <v>639</v>
      </c>
      <c r="G66" s="364" t="s">
        <v>679</v>
      </c>
      <c r="H66" s="379" t="s">
        <v>680</v>
      </c>
    </row>
    <row r="67" spans="1:8">
      <c r="A67" s="233" t="s">
        <v>627</v>
      </c>
      <c r="B67" s="246">
        <f>B68*K5</f>
        <v>2520.3975</v>
      </c>
      <c r="C67" s="246">
        <f>C68*L5</f>
        <v>10960.412812500001</v>
      </c>
      <c r="D67" s="246">
        <f>D68*L5</f>
        <v>17536.660500000002</v>
      </c>
      <c r="E67" s="246">
        <f>E68*L5</f>
        <v>21920.825625000001</v>
      </c>
      <c r="F67" s="246">
        <f>F68*L5</f>
        <v>26304.990750000001</v>
      </c>
      <c r="G67" s="246">
        <f>G68*L5</f>
        <v>30689.155875</v>
      </c>
      <c r="H67" s="247">
        <f>H68*L5</f>
        <v>32881.238437500004</v>
      </c>
    </row>
    <row r="68" spans="1:8">
      <c r="A68" s="233" t="s">
        <v>631</v>
      </c>
      <c r="B68" s="65">
        <f>C40*$B$63</f>
        <v>26530.5</v>
      </c>
      <c r="C68" s="65">
        <f>C41*$B$63</f>
        <v>55271.875</v>
      </c>
      <c r="D68" s="65">
        <f>C42*$B$63</f>
        <v>88435</v>
      </c>
      <c r="E68" s="65">
        <f>C43*$B$63</f>
        <v>110543.75</v>
      </c>
      <c r="F68" s="65">
        <f>C44*$B$63</f>
        <v>132652.5</v>
      </c>
      <c r="G68" s="65">
        <f>C45*$B$63</f>
        <v>154761.25</v>
      </c>
      <c r="H68" s="360">
        <f>C46*$B$63</f>
        <v>165815.625</v>
      </c>
    </row>
    <row r="69" spans="1:8">
      <c r="A69" s="233" t="s">
        <v>630</v>
      </c>
      <c r="B69" s="369">
        <f>B67/B68</f>
        <v>9.5000000000000001E-2</v>
      </c>
      <c r="C69" s="363">
        <f t="shared" ref="C69:F69" si="7">C67/C68</f>
        <v>0.1983</v>
      </c>
      <c r="D69" s="363">
        <f t="shared" si="7"/>
        <v>0.19830000000000003</v>
      </c>
      <c r="E69" s="363">
        <f t="shared" si="7"/>
        <v>0.1983</v>
      </c>
      <c r="F69" s="363">
        <f t="shared" si="7"/>
        <v>0.1983</v>
      </c>
      <c r="G69" s="363">
        <f>G67/G68</f>
        <v>0.1983</v>
      </c>
      <c r="H69" s="380">
        <f>H67/H68</f>
        <v>0.19830000000000003</v>
      </c>
    </row>
    <row r="70" spans="1:8">
      <c r="A70" s="365" t="s">
        <v>632</v>
      </c>
      <c r="B70" s="120">
        <f>1-B69</f>
        <v>0.90500000000000003</v>
      </c>
      <c r="C70" s="120">
        <f t="shared" ref="C70:G70" si="8">1-C69</f>
        <v>0.80169999999999997</v>
      </c>
      <c r="D70" s="120">
        <f t="shared" si="8"/>
        <v>0.80169999999999997</v>
      </c>
      <c r="E70" s="120">
        <f t="shared" si="8"/>
        <v>0.80169999999999997</v>
      </c>
      <c r="F70" s="120">
        <f t="shared" si="8"/>
        <v>0.80169999999999997</v>
      </c>
      <c r="G70" s="120">
        <f t="shared" si="8"/>
        <v>0.80169999999999997</v>
      </c>
      <c r="H70" s="346">
        <f>1-H69</f>
        <v>0.80169999999999997</v>
      </c>
    </row>
    <row r="71" spans="1:8">
      <c r="A71" s="365" t="s">
        <v>633</v>
      </c>
      <c r="B71" s="246">
        <f>B19/B70</f>
        <v>48771.491712707175</v>
      </c>
      <c r="C71" s="246">
        <f t="shared" ref="C71:F71" si="9">C19/C70</f>
        <v>60148.060371710126</v>
      </c>
      <c r="D71" s="246">
        <f t="shared" si="9"/>
        <v>66415.404764874649</v>
      </c>
      <c r="E71" s="246">
        <f t="shared" si="9"/>
        <v>72259.814144942022</v>
      </c>
      <c r="F71" s="246">
        <f t="shared" si="9"/>
        <v>79259.426593488868</v>
      </c>
      <c r="G71" s="246">
        <f>G19/G70</f>
        <v>86210.091717600139</v>
      </c>
      <c r="H71" s="352">
        <f>H19/H70</f>
        <v>94268.421582886396</v>
      </c>
    </row>
    <row r="72" spans="1:8">
      <c r="A72" s="233" t="s">
        <v>634</v>
      </c>
      <c r="B72" s="73">
        <f>B71/B63</f>
        <v>848.1998558731683</v>
      </c>
      <c r="C72" s="73">
        <f>C71/B63</f>
        <v>1046.0532238558283</v>
      </c>
      <c r="D72" s="73">
        <f>D71/B63</f>
        <v>1155.0505176499939</v>
      </c>
      <c r="E72" s="73">
        <f>E71/B63</f>
        <v>1256.6924199120351</v>
      </c>
      <c r="F72" s="73">
        <f>F71/B63</f>
        <v>1378.4248103215455</v>
      </c>
      <c r="G72" s="73">
        <f>G71/B63</f>
        <v>1499.305942914785</v>
      </c>
      <c r="H72" s="366">
        <f>H71/B63</f>
        <v>1639.4508101371548</v>
      </c>
    </row>
    <row r="73" spans="1:8" ht="15" thickBot="1">
      <c r="A73" s="248" t="s">
        <v>645</v>
      </c>
      <c r="B73" s="367">
        <f>B72/B33</f>
        <v>0.22059814196961464</v>
      </c>
      <c r="C73" s="367">
        <f>C72/B33</f>
        <v>0.27205545483896704</v>
      </c>
      <c r="D73" s="367">
        <f>D72/B33</f>
        <v>0.3004032555656681</v>
      </c>
      <c r="E73" s="367">
        <f>E72/B33</f>
        <v>0.32683808060130953</v>
      </c>
      <c r="F73" s="367">
        <f>F72/B33</f>
        <v>0.35849800008362692</v>
      </c>
      <c r="G73" s="367">
        <f>G72/B33</f>
        <v>0.38993652611567881</v>
      </c>
      <c r="H73" s="368">
        <f>H72/B33</f>
        <v>0.42638512617351232</v>
      </c>
    </row>
    <row r="76" spans="1:8" ht="15.75" thickBot="1">
      <c r="A76" s="90"/>
    </row>
    <row r="77" spans="1:8" ht="15">
      <c r="A77" s="343" t="s">
        <v>647</v>
      </c>
      <c r="B77" s="344"/>
    </row>
    <row r="78" spans="1:8">
      <c r="A78" s="233" t="s">
        <v>648</v>
      </c>
      <c r="B78" s="239">
        <v>2</v>
      </c>
    </row>
    <row r="79" spans="1:8">
      <c r="A79" s="233" t="s">
        <v>649</v>
      </c>
      <c r="B79" s="239">
        <v>4.33</v>
      </c>
    </row>
    <row r="80" spans="1:8">
      <c r="A80" s="233" t="s">
        <v>650</v>
      </c>
      <c r="B80" s="239">
        <v>1</v>
      </c>
    </row>
    <row r="81" spans="1:8">
      <c r="A81" s="233" t="s">
        <v>651</v>
      </c>
      <c r="B81" s="239">
        <v>1.5</v>
      </c>
    </row>
    <row r="82" spans="1:8">
      <c r="A82" s="233" t="s">
        <v>652</v>
      </c>
      <c r="B82" s="239">
        <v>2</v>
      </c>
    </row>
    <row r="83" spans="1:8">
      <c r="A83" s="233"/>
      <c r="B83" s="239"/>
    </row>
    <row r="84" spans="1:8">
      <c r="A84" s="233" t="s">
        <v>660</v>
      </c>
      <c r="B84" s="239">
        <f>B80*$B$78*$B$79</f>
        <v>8.66</v>
      </c>
    </row>
    <row r="85" spans="1:8">
      <c r="A85" s="233" t="s">
        <v>653</v>
      </c>
      <c r="B85" s="239">
        <f>B81*$B$78*$B$79</f>
        <v>12.99</v>
      </c>
    </row>
    <row r="86" spans="1:8" ht="15" thickBot="1">
      <c r="A86" s="248" t="s">
        <v>654</v>
      </c>
      <c r="B86" s="349">
        <f>B82*$B$78*$B$79</f>
        <v>17.32</v>
      </c>
    </row>
    <row r="88" spans="1:8" ht="15" thickBot="1"/>
    <row r="89" spans="1:8" ht="15">
      <c r="A89" s="343" t="s">
        <v>655</v>
      </c>
      <c r="B89" s="364" t="s">
        <v>604</v>
      </c>
      <c r="C89" s="364" t="s">
        <v>636</v>
      </c>
      <c r="D89" s="364" t="s">
        <v>637</v>
      </c>
      <c r="E89" s="364" t="s">
        <v>638</v>
      </c>
      <c r="F89" s="364" t="s">
        <v>639</v>
      </c>
      <c r="G89" s="364" t="s">
        <v>679</v>
      </c>
      <c r="H89" s="379" t="s">
        <v>680</v>
      </c>
    </row>
    <row r="90" spans="1:8">
      <c r="A90" s="233" t="s">
        <v>656</v>
      </c>
      <c r="B90">
        <f>ROUNDUP(B72/$B$84,0)</f>
        <v>98</v>
      </c>
      <c r="C90">
        <f>ROUNDUP(C72/$B$84,0)</f>
        <v>121</v>
      </c>
      <c r="D90">
        <f t="shared" ref="D90:F90" si="10">ROUNDUP(D72/$B$84,0)</f>
        <v>134</v>
      </c>
      <c r="E90">
        <f t="shared" si="10"/>
        <v>146</v>
      </c>
      <c r="F90">
        <f t="shared" si="10"/>
        <v>160</v>
      </c>
      <c r="G90">
        <f>ROUNDUP(G72/$B$84,0)</f>
        <v>174</v>
      </c>
      <c r="H90" s="239">
        <f>ROUNDUP(H72/$B$84,0)</f>
        <v>190</v>
      </c>
    </row>
    <row r="91" spans="1:8">
      <c r="A91" s="233" t="s">
        <v>657</v>
      </c>
      <c r="B91">
        <f>ROUNDUP(B72/$B$85,0)</f>
        <v>66</v>
      </c>
      <c r="C91">
        <f>ROUNDUP(C72/$B$85,0)</f>
        <v>81</v>
      </c>
      <c r="D91">
        <f t="shared" ref="D91:F91" si="11">ROUNDUP(D72/$B$85,0)</f>
        <v>89</v>
      </c>
      <c r="E91">
        <f t="shared" si="11"/>
        <v>97</v>
      </c>
      <c r="F91">
        <f t="shared" si="11"/>
        <v>107</v>
      </c>
      <c r="G91">
        <f>ROUNDUP(G72/$B$85,0)</f>
        <v>116</v>
      </c>
      <c r="H91" s="239">
        <f>ROUNDUP(H72/$B$85,0)</f>
        <v>127</v>
      </c>
    </row>
    <row r="92" spans="1:8" ht="15" thickBot="1">
      <c r="A92" s="248" t="s">
        <v>658</v>
      </c>
      <c r="B92" s="212">
        <f>ROUNDUP(B72/$B$86,0)</f>
        <v>49</v>
      </c>
      <c r="C92" s="212">
        <f t="shared" ref="C92:H92" si="12">ROUNDUP(C72/$B$86,0)</f>
        <v>61</v>
      </c>
      <c r="D92" s="212">
        <f t="shared" si="12"/>
        <v>67</v>
      </c>
      <c r="E92" s="212">
        <f t="shared" si="12"/>
        <v>73</v>
      </c>
      <c r="F92" s="212">
        <f t="shared" si="12"/>
        <v>80</v>
      </c>
      <c r="G92" s="212">
        <f t="shared" si="12"/>
        <v>87</v>
      </c>
      <c r="H92" s="349">
        <f t="shared" si="12"/>
        <v>95</v>
      </c>
    </row>
    <row r="93" spans="1:8" ht="15" thickBot="1"/>
    <row r="94" spans="1:8" ht="15">
      <c r="A94" s="343" t="s">
        <v>662</v>
      </c>
      <c r="B94" s="364" t="s">
        <v>604</v>
      </c>
      <c r="C94" s="364" t="s">
        <v>636</v>
      </c>
      <c r="D94" s="364" t="s">
        <v>637</v>
      </c>
      <c r="E94" s="364" t="s">
        <v>638</v>
      </c>
      <c r="F94" s="364" t="s">
        <v>639</v>
      </c>
      <c r="G94" s="364" t="s">
        <v>679</v>
      </c>
      <c r="H94" s="379" t="s">
        <v>680</v>
      </c>
    </row>
    <row r="95" spans="1:8">
      <c r="A95" s="233" t="s">
        <v>646</v>
      </c>
      <c r="B95" s="120">
        <v>0.12</v>
      </c>
      <c r="C95" s="120">
        <v>0.25</v>
      </c>
      <c r="D95" s="120">
        <v>0.4</v>
      </c>
      <c r="E95" s="120">
        <v>0.5</v>
      </c>
      <c r="F95" s="120">
        <v>0.6</v>
      </c>
      <c r="G95" s="120">
        <v>0.7</v>
      </c>
      <c r="H95" s="346">
        <v>0.75</v>
      </c>
    </row>
    <row r="96" spans="1:8" ht="15" thickBot="1">
      <c r="A96" s="248" t="s">
        <v>661</v>
      </c>
      <c r="B96" s="212">
        <f>$B$33*B95</f>
        <v>461.4</v>
      </c>
      <c r="C96" s="212">
        <f t="shared" ref="C96:F96" si="13">$B$33*C95</f>
        <v>961.25</v>
      </c>
      <c r="D96" s="212">
        <f t="shared" si="13"/>
        <v>1538</v>
      </c>
      <c r="E96" s="212">
        <f t="shared" si="13"/>
        <v>1922.5</v>
      </c>
      <c r="F96" s="212">
        <f t="shared" si="13"/>
        <v>2307</v>
      </c>
      <c r="G96" s="212">
        <f>$B$33*G95</f>
        <v>2691.5</v>
      </c>
      <c r="H96" s="349">
        <f>$B$33*H95</f>
        <v>2883.75</v>
      </c>
    </row>
    <row r="99" spans="1:8" ht="15" thickBot="1"/>
    <row r="100" spans="1:8" ht="15">
      <c r="A100" s="343" t="s">
        <v>659</v>
      </c>
      <c r="B100" s="364" t="s">
        <v>604</v>
      </c>
      <c r="C100" s="364" t="s">
        <v>636</v>
      </c>
      <c r="D100" s="364" t="s">
        <v>637</v>
      </c>
      <c r="E100" s="364" t="s">
        <v>638</v>
      </c>
      <c r="F100" s="364" t="s">
        <v>639</v>
      </c>
      <c r="G100" s="364" t="s">
        <v>679</v>
      </c>
      <c r="H100" s="379" t="s">
        <v>680</v>
      </c>
    </row>
    <row r="101" spans="1:8">
      <c r="A101" s="233" t="s">
        <v>663</v>
      </c>
      <c r="B101">
        <f>ROUNDUP(B96/$B$84,0)</f>
        <v>54</v>
      </c>
      <c r="C101">
        <f>ROUNDUP(C96/$B$84,0)</f>
        <v>111</v>
      </c>
      <c r="D101">
        <f>ROUNDUP(D96/$B$84,0)</f>
        <v>178</v>
      </c>
      <c r="E101">
        <f t="shared" ref="E101:F101" si="14">ROUNDUP(E96/$B$84,0)</f>
        <v>222</v>
      </c>
      <c r="F101">
        <f t="shared" si="14"/>
        <v>267</v>
      </c>
      <c r="G101">
        <f>ROUNDUP(G96/$B$84,0)</f>
        <v>311</v>
      </c>
      <c r="H101" s="239">
        <f>ROUNDUP(H96/$B$84,0)</f>
        <v>333</v>
      </c>
    </row>
    <row r="102" spans="1:8">
      <c r="A102" s="233" t="s">
        <v>657</v>
      </c>
      <c r="B102">
        <f>ROUNDUP(B96/$B$85,0)</f>
        <v>36</v>
      </c>
      <c r="C102">
        <f t="shared" ref="C102:H102" si="15">ROUNDUP(C96/$B$85,0)</f>
        <v>74</v>
      </c>
      <c r="D102">
        <f t="shared" si="15"/>
        <v>119</v>
      </c>
      <c r="E102">
        <f t="shared" si="15"/>
        <v>148</v>
      </c>
      <c r="F102">
        <f t="shared" si="15"/>
        <v>178</v>
      </c>
      <c r="G102">
        <f t="shared" si="15"/>
        <v>208</v>
      </c>
      <c r="H102" s="239">
        <f t="shared" si="15"/>
        <v>222</v>
      </c>
    </row>
    <row r="103" spans="1:8" ht="15" thickBot="1">
      <c r="A103" s="248" t="s">
        <v>658</v>
      </c>
      <c r="B103" s="212">
        <f>ROUNDUP(B96/$B$86,0)</f>
        <v>27</v>
      </c>
      <c r="C103" s="212">
        <f t="shared" ref="C103:H103" si="16">ROUNDUP(C96/$B$86,0)</f>
        <v>56</v>
      </c>
      <c r="D103" s="212">
        <f t="shared" si="16"/>
        <v>89</v>
      </c>
      <c r="E103" s="212">
        <f t="shared" si="16"/>
        <v>111</v>
      </c>
      <c r="F103" s="212">
        <f t="shared" si="16"/>
        <v>134</v>
      </c>
      <c r="G103" s="212">
        <f t="shared" si="16"/>
        <v>156</v>
      </c>
      <c r="H103" s="349">
        <f t="shared" si="16"/>
        <v>167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7400-95C7-4363-98DB-6D3009F0749B}">
  <dimension ref="A1:K35"/>
  <sheetViews>
    <sheetView topLeftCell="C12" zoomScale="80" zoomScaleNormal="80" workbookViewId="0">
      <selection activeCell="J29" sqref="J29"/>
    </sheetView>
  </sheetViews>
  <sheetFormatPr defaultRowHeight="14.25"/>
  <cols>
    <col min="2" max="2" width="39.25" customWidth="1"/>
    <col min="3" max="3" width="17.875" customWidth="1"/>
    <col min="4" max="4" width="19.875" customWidth="1"/>
    <col min="5" max="5" width="22.75" customWidth="1"/>
    <col min="6" max="6" width="18.625" customWidth="1"/>
    <col min="7" max="7" width="23.75" customWidth="1"/>
    <col min="8" max="8" width="30.125" customWidth="1"/>
    <col min="9" max="9" width="23.875" customWidth="1"/>
    <col min="10" max="10" width="15.375" customWidth="1"/>
    <col min="11" max="11" width="14.75" customWidth="1"/>
  </cols>
  <sheetData>
    <row r="1" spans="1:10" ht="15">
      <c r="A1" s="419" t="s">
        <v>415</v>
      </c>
      <c r="B1" s="420"/>
      <c r="C1" s="140" t="s">
        <v>418</v>
      </c>
      <c r="E1" s="108"/>
      <c r="F1" s="108"/>
      <c r="G1" s="108"/>
      <c r="H1" s="108"/>
      <c r="I1" s="108"/>
      <c r="J1" s="108"/>
    </row>
    <row r="2" spans="1:10">
      <c r="A2" s="386" t="s">
        <v>443</v>
      </c>
      <c r="B2" s="387"/>
      <c r="C2" s="126">
        <f>H8</f>
        <v>4</v>
      </c>
      <c r="E2" s="86"/>
      <c r="F2" s="86"/>
      <c r="G2" s="86"/>
      <c r="H2" s="86"/>
      <c r="I2" s="86"/>
      <c r="J2" s="86"/>
    </row>
    <row r="3" spans="1:10">
      <c r="A3" s="386" t="s">
        <v>434</v>
      </c>
      <c r="B3" s="387"/>
      <c r="C3" s="126">
        <v>8</v>
      </c>
    </row>
    <row r="4" spans="1:10" ht="14.25" customHeight="1">
      <c r="A4" s="386"/>
      <c r="B4" s="387"/>
      <c r="C4" s="126"/>
      <c r="E4" s="108" t="s">
        <v>436</v>
      </c>
      <c r="F4" s="108" t="s">
        <v>437</v>
      </c>
      <c r="G4" s="108" t="s">
        <v>438</v>
      </c>
      <c r="H4" s="108" t="s">
        <v>435</v>
      </c>
    </row>
    <row r="5" spans="1:10">
      <c r="A5" s="386" t="s">
        <v>416</v>
      </c>
      <c r="B5" s="387"/>
      <c r="C5" s="126">
        <f>H5*G5</f>
        <v>85</v>
      </c>
      <c r="E5" s="86">
        <v>7</v>
      </c>
      <c r="F5" s="86">
        <v>4</v>
      </c>
      <c r="G5" s="86">
        <v>17</v>
      </c>
      <c r="H5" s="86">
        <v>5</v>
      </c>
    </row>
    <row r="6" spans="1:10">
      <c r="A6" s="386" t="s">
        <v>449</v>
      </c>
      <c r="B6" s="387"/>
      <c r="C6" s="126">
        <f>E5+F5</f>
        <v>11</v>
      </c>
    </row>
    <row r="7" spans="1:10" ht="15">
      <c r="A7" s="386" t="s">
        <v>439</v>
      </c>
      <c r="B7" s="387"/>
      <c r="C7" s="126">
        <f>C3*C5</f>
        <v>680</v>
      </c>
      <c r="E7" s="418" t="s">
        <v>444</v>
      </c>
      <c r="F7" s="418"/>
      <c r="G7" s="418"/>
      <c r="H7" s="108" t="s">
        <v>445</v>
      </c>
    </row>
    <row r="8" spans="1:10">
      <c r="A8" s="386" t="s">
        <v>440</v>
      </c>
      <c r="B8" s="387"/>
      <c r="C8" s="126">
        <f>C6*C3</f>
        <v>88</v>
      </c>
      <c r="E8" s="387">
        <f>('Cálcul. para definição benefic'!D31+'Cálcul. para definição benefic'!C31)/2</f>
        <v>4.085</v>
      </c>
      <c r="F8" s="387"/>
      <c r="G8" s="387"/>
      <c r="H8" s="86">
        <f>ROUNDDOWN(E8,1)</f>
        <v>4</v>
      </c>
    </row>
    <row r="9" spans="1:10">
      <c r="A9" s="386" t="s">
        <v>441</v>
      </c>
      <c r="B9" s="387"/>
      <c r="C9" s="126">
        <f>C7+C8</f>
        <v>768</v>
      </c>
    </row>
    <row r="10" spans="1:10">
      <c r="A10" s="386" t="s">
        <v>442</v>
      </c>
      <c r="B10" s="387"/>
      <c r="C10" s="126">
        <f>C9/C2</f>
        <v>192</v>
      </c>
    </row>
    <row r="11" spans="1:10">
      <c r="A11" s="386" t="s">
        <v>433</v>
      </c>
      <c r="B11" s="387"/>
      <c r="C11" s="126">
        <f>C10*4</f>
        <v>768</v>
      </c>
    </row>
    <row r="12" spans="1:10">
      <c r="A12" s="386" t="s">
        <v>430</v>
      </c>
      <c r="B12" s="387"/>
      <c r="C12" s="126">
        <v>0.8</v>
      </c>
    </row>
    <row r="13" spans="1:10" ht="15" thickBot="1">
      <c r="A13" s="386" t="s">
        <v>431</v>
      </c>
      <c r="B13" s="387"/>
      <c r="C13" s="126">
        <v>3</v>
      </c>
    </row>
    <row r="14" spans="1:10" ht="15" thickBot="1">
      <c r="A14" s="386" t="s">
        <v>450</v>
      </c>
      <c r="B14" s="387"/>
      <c r="C14" s="126">
        <v>0.05</v>
      </c>
      <c r="D14" s="415"/>
      <c r="E14" s="416"/>
      <c r="F14" s="417"/>
    </row>
    <row r="15" spans="1:10">
      <c r="A15" s="386" t="s">
        <v>417</v>
      </c>
      <c r="B15" s="387"/>
      <c r="C15" s="126">
        <v>20</v>
      </c>
    </row>
    <row r="16" spans="1:10" ht="15" thickBot="1">
      <c r="A16" s="409" t="s">
        <v>432</v>
      </c>
      <c r="B16" s="410"/>
      <c r="C16" s="139">
        <v>0.25</v>
      </c>
    </row>
    <row r="19" spans="1:11" ht="15" thickBot="1"/>
    <row r="20" spans="1:11" ht="15.75" thickBot="1">
      <c r="A20" s="411" t="s">
        <v>419</v>
      </c>
      <c r="B20" s="412"/>
      <c r="C20" s="138"/>
    </row>
    <row r="21" spans="1:11">
      <c r="A21" s="413"/>
      <c r="B21" s="414"/>
      <c r="C21" s="137"/>
    </row>
    <row r="22" spans="1:11">
      <c r="A22" s="386" t="s">
        <v>446</v>
      </c>
      <c r="B22" s="387"/>
      <c r="C22" s="126">
        <f>C11</f>
        <v>768</v>
      </c>
    </row>
    <row r="23" spans="1:11">
      <c r="A23" s="386" t="s">
        <v>447</v>
      </c>
      <c r="B23" s="387"/>
      <c r="C23" s="126">
        <f>C21+C22</f>
        <v>768</v>
      </c>
    </row>
    <row r="24" spans="1:11">
      <c r="A24" s="386" t="s">
        <v>420</v>
      </c>
      <c r="B24" s="387"/>
      <c r="C24" s="126">
        <f>C12</f>
        <v>0.8</v>
      </c>
    </row>
    <row r="25" spans="1:11" ht="15" thickBot="1">
      <c r="A25" s="409" t="s">
        <v>421</v>
      </c>
      <c r="B25" s="410"/>
      <c r="C25" s="128">
        <f>C13</f>
        <v>3</v>
      </c>
    </row>
    <row r="26" spans="1:11" ht="15" thickBot="1">
      <c r="A26" s="397"/>
      <c r="B26" s="397"/>
    </row>
    <row r="27" spans="1:11" ht="15.75" thickBot="1">
      <c r="A27" s="121" t="s">
        <v>422</v>
      </c>
      <c r="B27" s="135" t="s">
        <v>292</v>
      </c>
      <c r="C27" s="135"/>
      <c r="D27" s="135" t="s">
        <v>423</v>
      </c>
      <c r="E27" s="135" t="s">
        <v>448</v>
      </c>
      <c r="F27" s="135" t="s">
        <v>424</v>
      </c>
      <c r="G27" s="135" t="s">
        <v>425</v>
      </c>
      <c r="H27" s="135" t="s">
        <v>426</v>
      </c>
      <c r="I27" s="135" t="s">
        <v>427</v>
      </c>
      <c r="J27" s="135" t="s">
        <v>428</v>
      </c>
      <c r="K27" s="136" t="s">
        <v>429</v>
      </c>
    </row>
    <row r="28" spans="1:11">
      <c r="A28" s="96">
        <v>0</v>
      </c>
      <c r="B28" s="131">
        <f>'Cálcul. trabalhado'!H3</f>
        <v>0.03</v>
      </c>
      <c r="C28" s="132"/>
      <c r="D28" s="132">
        <f>CEILING(C11*B28*C16,1)</f>
        <v>6</v>
      </c>
      <c r="E28" s="132">
        <f>D28</f>
        <v>6</v>
      </c>
      <c r="F28" s="133">
        <f>E28*C24</f>
        <v>4.8000000000000007</v>
      </c>
      <c r="G28" s="133">
        <f>E28*C25</f>
        <v>18</v>
      </c>
      <c r="H28" s="132">
        <f>CEILING(E28*C14,1)</f>
        <v>1</v>
      </c>
      <c r="I28" s="133">
        <f>H28*C15</f>
        <v>20</v>
      </c>
      <c r="J28" s="133">
        <f>F28+G28+I28</f>
        <v>42.8</v>
      </c>
      <c r="K28" s="134">
        <f>J28*12</f>
        <v>513.59999999999991</v>
      </c>
    </row>
    <row r="29" spans="1:11">
      <c r="A29" s="125">
        <v>1</v>
      </c>
      <c r="B29" s="91">
        <f>'Cálcul. trabalhado'!H4</f>
        <v>0.12</v>
      </c>
      <c r="C29" s="86"/>
      <c r="D29" s="86">
        <f>CEILING(C11*B29*C16,1)</f>
        <v>24</v>
      </c>
      <c r="E29" s="86">
        <f t="shared" ref="E29:E32" si="0">D29</f>
        <v>24</v>
      </c>
      <c r="F29" s="129">
        <f>E29*C12</f>
        <v>19.200000000000003</v>
      </c>
      <c r="G29" s="129">
        <f>E29*C25</f>
        <v>72</v>
      </c>
      <c r="H29" s="86">
        <f>CEILING(E29*C14,1)</f>
        <v>2</v>
      </c>
      <c r="I29" s="129">
        <f>H29*C15</f>
        <v>40</v>
      </c>
      <c r="J29" s="129">
        <f>F29+G29+I29</f>
        <v>131.19999999999999</v>
      </c>
      <c r="K29" s="130">
        <f t="shared" ref="K29:K35" si="1">J29*12</f>
        <v>1574.3999999999999</v>
      </c>
    </row>
    <row r="30" spans="1:11">
      <c r="A30" s="125">
        <v>2</v>
      </c>
      <c r="B30" s="91">
        <f>'Cálcul. trabalhado'!H5</f>
        <v>0.25</v>
      </c>
      <c r="C30" s="86"/>
      <c r="D30" s="86">
        <f>CEILING(C11*B30*C16,1)</f>
        <v>48</v>
      </c>
      <c r="E30" s="86">
        <f t="shared" si="0"/>
        <v>48</v>
      </c>
      <c r="F30" s="129">
        <f>E30*C12</f>
        <v>38.400000000000006</v>
      </c>
      <c r="G30" s="129">
        <f>E30*C25</f>
        <v>144</v>
      </c>
      <c r="H30" s="86">
        <f>CEILING(E30*C14,1)</f>
        <v>3</v>
      </c>
      <c r="I30" s="129">
        <f>H30*C15</f>
        <v>60</v>
      </c>
      <c r="J30" s="129">
        <f t="shared" ref="J30:J32" si="2">F30+G30+I30</f>
        <v>242.4</v>
      </c>
      <c r="K30" s="130">
        <f t="shared" si="1"/>
        <v>2908.8</v>
      </c>
    </row>
    <row r="31" spans="1:11">
      <c r="A31" s="125">
        <v>3</v>
      </c>
      <c r="B31" s="91">
        <f>'Cálcul. trabalhado'!H6</f>
        <v>0.4</v>
      </c>
      <c r="C31" s="86"/>
      <c r="D31" s="86">
        <f>CEILING(C11*B31*C16,1)</f>
        <v>77</v>
      </c>
      <c r="E31" s="86">
        <f t="shared" si="0"/>
        <v>77</v>
      </c>
      <c r="F31" s="129">
        <f>E31*C12</f>
        <v>61.6</v>
      </c>
      <c r="G31" s="129">
        <f>E31*C25</f>
        <v>231</v>
      </c>
      <c r="H31" s="86">
        <f>CEILING(E31*C14,1)</f>
        <v>4</v>
      </c>
      <c r="I31" s="129">
        <f>H31*C15</f>
        <v>80</v>
      </c>
      <c r="J31" s="129">
        <f t="shared" si="2"/>
        <v>372.6</v>
      </c>
      <c r="K31" s="130">
        <f t="shared" si="1"/>
        <v>4471.2000000000007</v>
      </c>
    </row>
    <row r="32" spans="1:11">
      <c r="A32" s="125">
        <v>4</v>
      </c>
      <c r="B32" s="91">
        <f>'Cálcul. trabalhado'!H7</f>
        <v>0.5</v>
      </c>
      <c r="C32" s="86"/>
      <c r="D32" s="86">
        <f>CEILING(C11*B32*C16,1)</f>
        <v>96</v>
      </c>
      <c r="E32" s="86">
        <f t="shared" si="0"/>
        <v>96</v>
      </c>
      <c r="F32" s="129">
        <f>E32*C12</f>
        <v>76.800000000000011</v>
      </c>
      <c r="G32" s="129">
        <f>E32*C25</f>
        <v>288</v>
      </c>
      <c r="H32" s="86">
        <f>CEILING(E32*C14,1)</f>
        <v>5</v>
      </c>
      <c r="I32" s="129">
        <f>H32*C15</f>
        <v>100</v>
      </c>
      <c r="J32" s="129">
        <f t="shared" si="2"/>
        <v>464.8</v>
      </c>
      <c r="K32" s="130">
        <f t="shared" si="1"/>
        <v>5577.6</v>
      </c>
    </row>
    <row r="33" spans="1:11">
      <c r="A33" s="260">
        <v>5</v>
      </c>
      <c r="B33" s="261">
        <f>'Cálcul. trabalhado'!H8</f>
        <v>0.6</v>
      </c>
      <c r="C33" s="262"/>
      <c r="D33" s="262">
        <f>CEILING(C11*B33*C16,1)</f>
        <v>116</v>
      </c>
      <c r="E33" s="262">
        <f>D33</f>
        <v>116</v>
      </c>
      <c r="F33" s="263">
        <f>E33*C12</f>
        <v>92.800000000000011</v>
      </c>
      <c r="G33" s="263">
        <f>E33*C25</f>
        <v>348</v>
      </c>
      <c r="H33" s="262">
        <f>CEILING(E33*C14,1)</f>
        <v>6</v>
      </c>
      <c r="I33" s="263">
        <f>H33*C15</f>
        <v>120</v>
      </c>
      <c r="J33" s="263">
        <f>F33+G33+I33</f>
        <v>560.79999999999995</v>
      </c>
      <c r="K33" s="264">
        <f t="shared" si="1"/>
        <v>6729.5999999999995</v>
      </c>
    </row>
    <row r="34" spans="1:11">
      <c r="A34" s="103">
        <v>6.7</v>
      </c>
      <c r="B34" s="91">
        <v>0.7</v>
      </c>
      <c r="C34" s="86"/>
      <c r="D34" s="86">
        <f>CEILING(C11*B34*C16,1)</f>
        <v>135</v>
      </c>
      <c r="E34" s="86">
        <f>D34</f>
        <v>135</v>
      </c>
      <c r="F34" s="129">
        <f>E34*C12</f>
        <v>108</v>
      </c>
      <c r="G34" s="129">
        <f>E34*C25</f>
        <v>405</v>
      </c>
      <c r="H34" s="86">
        <f>CEILING(E34*C14,1)</f>
        <v>7</v>
      </c>
      <c r="I34" s="129">
        <f>H34*C15</f>
        <v>140</v>
      </c>
      <c r="J34" s="265">
        <f>F34+G34+I34</f>
        <v>653</v>
      </c>
      <c r="K34" s="266">
        <f t="shared" si="1"/>
        <v>7836</v>
      </c>
    </row>
    <row r="35" spans="1:11">
      <c r="A35" s="319">
        <v>8</v>
      </c>
      <c r="B35" s="120">
        <v>0.75</v>
      </c>
      <c r="D35" s="86">
        <f>CEILING(C11*B35*C16,1)</f>
        <v>144</v>
      </c>
      <c r="E35" s="320">
        <f>D35</f>
        <v>144</v>
      </c>
      <c r="F35" s="298">
        <f>E35*C12</f>
        <v>115.2</v>
      </c>
      <c r="G35" s="298">
        <f>E35*C25</f>
        <v>432</v>
      </c>
      <c r="H35" s="86">
        <f>CEILING(E35*C14,1)</f>
        <v>8</v>
      </c>
      <c r="I35" s="298">
        <f>H35*C15</f>
        <v>160</v>
      </c>
      <c r="J35" s="308">
        <f>F35+G35+I35</f>
        <v>707.2</v>
      </c>
      <c r="K35" s="321">
        <f t="shared" si="1"/>
        <v>8486.4000000000015</v>
      </c>
    </row>
  </sheetData>
  <mergeCells count="26">
    <mergeCell ref="A1:B1"/>
    <mergeCell ref="A3:B3"/>
    <mergeCell ref="A2:B2"/>
    <mergeCell ref="A6:B6"/>
    <mergeCell ref="A4:B4"/>
    <mergeCell ref="A5:B5"/>
    <mergeCell ref="A8:B8"/>
    <mergeCell ref="A7:B7"/>
    <mergeCell ref="A9:B9"/>
    <mergeCell ref="A10:B10"/>
    <mergeCell ref="E8:G8"/>
    <mergeCell ref="E7:G7"/>
    <mergeCell ref="A11:B11"/>
    <mergeCell ref="A12:B12"/>
    <mergeCell ref="A13:B13"/>
    <mergeCell ref="A14:B14"/>
    <mergeCell ref="D14:F14"/>
    <mergeCell ref="A15:B15"/>
    <mergeCell ref="A24:B24"/>
    <mergeCell ref="A25:B25"/>
    <mergeCell ref="A26:B26"/>
    <mergeCell ref="A16:B16"/>
    <mergeCell ref="A20:B20"/>
    <mergeCell ref="A21:B21"/>
    <mergeCell ref="A22:B22"/>
    <mergeCell ref="A23:B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1B7C-B5E4-46D3-B60F-9B2B708A61A1}">
  <dimension ref="A1:Q81"/>
  <sheetViews>
    <sheetView topLeftCell="A63" workbookViewId="0">
      <selection activeCell="I81" sqref="I81"/>
    </sheetView>
  </sheetViews>
  <sheetFormatPr defaultRowHeight="14.25"/>
  <cols>
    <col min="1" max="1" width="21.125" customWidth="1"/>
    <col min="2" max="2" width="24.625" customWidth="1"/>
    <col min="3" max="3" width="11.625" bestFit="1" customWidth="1"/>
    <col min="4" max="4" width="23" bestFit="1" customWidth="1"/>
    <col min="5" max="5" width="13.25" bestFit="1" customWidth="1"/>
    <col min="6" max="6" width="13.25" customWidth="1"/>
    <col min="7" max="7" width="12.875" bestFit="1" customWidth="1"/>
    <col min="8" max="8" width="13.875" customWidth="1"/>
    <col min="9" max="9" width="22" bestFit="1" customWidth="1"/>
    <col min="10" max="10" width="23" bestFit="1" customWidth="1"/>
    <col min="11" max="12" width="12.875" bestFit="1" customWidth="1"/>
    <col min="13" max="13" width="9.625" bestFit="1" customWidth="1"/>
    <col min="14" max="14" width="10.625" bestFit="1" customWidth="1"/>
    <col min="15" max="15" width="17.125" customWidth="1"/>
    <col min="16" max="16" width="10.625" bestFit="1" customWidth="1"/>
    <col min="17" max="17" width="16.375" bestFit="1" customWidth="1"/>
  </cols>
  <sheetData>
    <row r="1" spans="1:17" ht="15" thickBot="1">
      <c r="D1" s="28"/>
    </row>
    <row r="2" spans="1:17" s="37" customFormat="1" ht="30.75" thickTop="1">
      <c r="A2" s="59">
        <v>2027</v>
      </c>
      <c r="B2" s="60" t="s">
        <v>140</v>
      </c>
      <c r="C2" s="61"/>
      <c r="D2" s="60" t="s">
        <v>144</v>
      </c>
      <c r="E2" s="60" t="s">
        <v>191</v>
      </c>
      <c r="F2" s="60" t="s">
        <v>192</v>
      </c>
      <c r="G2" s="62" t="s">
        <v>145</v>
      </c>
      <c r="H2" s="60" t="s">
        <v>193</v>
      </c>
      <c r="I2" s="62" t="s">
        <v>194</v>
      </c>
      <c r="J2" s="63" t="s">
        <v>138</v>
      </c>
    </row>
    <row r="3" spans="1:17">
      <c r="A3" s="64" t="s">
        <v>186</v>
      </c>
      <c r="B3" s="28" t="s">
        <v>141</v>
      </c>
      <c r="C3" s="28">
        <v>3</v>
      </c>
      <c r="D3" s="65"/>
      <c r="G3" s="34">
        <v>0.8</v>
      </c>
      <c r="H3" s="65">
        <f>D3*G3</f>
        <v>0</v>
      </c>
      <c r="I3" s="65">
        <f>D3+H3</f>
        <v>0</v>
      </c>
      <c r="J3" s="66">
        <f>I3*C3</f>
        <v>0</v>
      </c>
    </row>
    <row r="4" spans="1:17">
      <c r="A4" s="67"/>
      <c r="B4" s="28" t="s">
        <v>142</v>
      </c>
      <c r="C4" s="28">
        <v>0</v>
      </c>
      <c r="D4" s="65">
        <v>1800</v>
      </c>
      <c r="E4" s="35"/>
      <c r="F4" s="35"/>
      <c r="G4" s="34">
        <v>0.8</v>
      </c>
      <c r="H4" s="65">
        <f t="shared" ref="H4" si="0">D4*G4</f>
        <v>1440</v>
      </c>
      <c r="I4" s="65">
        <f>D4+H4+E4</f>
        <v>3240</v>
      </c>
      <c r="J4" s="66">
        <f t="shared" ref="J4:J7" si="1">I4*C4</f>
        <v>0</v>
      </c>
    </row>
    <row r="5" spans="1:17">
      <c r="A5" s="64" t="s">
        <v>189</v>
      </c>
      <c r="B5" s="28" t="s">
        <v>143</v>
      </c>
      <c r="C5" s="28">
        <v>0</v>
      </c>
      <c r="D5" s="65">
        <v>2500</v>
      </c>
      <c r="E5" s="34">
        <v>0.02</v>
      </c>
      <c r="F5" s="35">
        <f>E5*'Cálcul. trabalhado'!I3</f>
        <v>98.152500000000003</v>
      </c>
      <c r="G5" s="34">
        <v>0.8</v>
      </c>
      <c r="H5" s="65">
        <f>(D5+F5)*G5</f>
        <v>2078.5220000000004</v>
      </c>
      <c r="I5" s="65">
        <f>D5+H5+F5</f>
        <v>4676.674500000001</v>
      </c>
      <c r="J5" s="66">
        <f t="shared" si="1"/>
        <v>0</v>
      </c>
      <c r="M5" s="35"/>
    </row>
    <row r="6" spans="1:17">
      <c r="A6" s="64" t="s">
        <v>190</v>
      </c>
      <c r="B6" s="28" t="s">
        <v>146</v>
      </c>
      <c r="C6" s="28">
        <v>1</v>
      </c>
      <c r="D6" s="65">
        <v>2200</v>
      </c>
      <c r="G6" s="34">
        <v>0.8</v>
      </c>
      <c r="H6" s="65">
        <f>D6*G6</f>
        <v>1760</v>
      </c>
      <c r="I6" s="65">
        <f>D6+H6</f>
        <v>3960</v>
      </c>
      <c r="J6" s="66">
        <f t="shared" si="1"/>
        <v>3960</v>
      </c>
      <c r="Q6" s="37"/>
    </row>
    <row r="7" spans="1:17">
      <c r="A7" s="67"/>
      <c r="B7" s="28" t="s">
        <v>147</v>
      </c>
      <c r="C7" s="28">
        <v>0</v>
      </c>
      <c r="D7" s="65">
        <v>3500</v>
      </c>
      <c r="G7" s="34">
        <v>0.8</v>
      </c>
      <c r="H7" s="65">
        <f>D7*G7</f>
        <v>2800</v>
      </c>
      <c r="I7" s="65">
        <f>D7+H7</f>
        <v>6300</v>
      </c>
      <c r="J7" s="66">
        <f t="shared" si="1"/>
        <v>0</v>
      </c>
    </row>
    <row r="8" spans="1:17">
      <c r="A8" s="64" t="s">
        <v>188</v>
      </c>
      <c r="B8" s="28" t="s">
        <v>187</v>
      </c>
      <c r="C8" s="28">
        <v>1</v>
      </c>
      <c r="D8" s="65"/>
      <c r="G8" s="34"/>
      <c r="H8" s="65"/>
      <c r="I8" s="65"/>
      <c r="J8" s="66">
        <f>D8*C8</f>
        <v>0</v>
      </c>
    </row>
    <row r="9" spans="1:17">
      <c r="A9" s="67"/>
      <c r="I9" s="35">
        <f>SUM(I3:I7)</f>
        <v>18176.674500000001</v>
      </c>
      <c r="J9" s="66">
        <f>SUM(J3:J8)</f>
        <v>3960</v>
      </c>
    </row>
    <row r="10" spans="1:17" ht="15" thickBot="1">
      <c r="A10" s="68"/>
      <c r="B10" s="69" t="s">
        <v>195</v>
      </c>
      <c r="C10" s="69">
        <v>1</v>
      </c>
      <c r="D10" s="70">
        <v>5000</v>
      </c>
      <c r="E10" s="71"/>
      <c r="F10" s="71"/>
      <c r="G10" s="71"/>
      <c r="H10" s="71"/>
      <c r="I10" s="71"/>
      <c r="J10" s="72">
        <f>C10*D10</f>
        <v>5000</v>
      </c>
    </row>
    <row r="11" spans="1:17" ht="15.75" thickTop="1" thickBot="1">
      <c r="B11" s="28"/>
      <c r="J11" s="31"/>
    </row>
    <row r="12" spans="1:17" ht="30.75" thickTop="1">
      <c r="A12" s="59">
        <v>2028</v>
      </c>
      <c r="B12" s="60" t="s">
        <v>140</v>
      </c>
      <c r="C12" s="61"/>
      <c r="D12" s="60" t="s">
        <v>144</v>
      </c>
      <c r="E12" s="60" t="s">
        <v>191</v>
      </c>
      <c r="F12" s="60" t="s">
        <v>192</v>
      </c>
      <c r="G12" s="62" t="s">
        <v>145</v>
      </c>
      <c r="H12" s="60" t="s">
        <v>193</v>
      </c>
      <c r="I12" s="62" t="s">
        <v>194</v>
      </c>
      <c r="J12" s="63" t="s">
        <v>138</v>
      </c>
    </row>
    <row r="13" spans="1:17">
      <c r="A13" s="64" t="s">
        <v>186</v>
      </c>
      <c r="B13" s="28" t="s">
        <v>141</v>
      </c>
      <c r="C13" s="28">
        <v>3</v>
      </c>
      <c r="D13" s="65">
        <f>D3*1.1</f>
        <v>0</v>
      </c>
      <c r="G13" s="34">
        <v>0.8</v>
      </c>
      <c r="H13" s="65">
        <f>D13*G13</f>
        <v>0</v>
      </c>
      <c r="I13" s="65">
        <f>D13+H13</f>
        <v>0</v>
      </c>
      <c r="J13" s="66">
        <f>I13*C13</f>
        <v>0</v>
      </c>
    </row>
    <row r="14" spans="1:17">
      <c r="A14" s="67"/>
      <c r="B14" s="28" t="s">
        <v>142</v>
      </c>
      <c r="C14" s="28">
        <v>0</v>
      </c>
      <c r="D14" s="65">
        <f>D4*1.1</f>
        <v>1980.0000000000002</v>
      </c>
      <c r="E14" s="35"/>
      <c r="F14" s="35"/>
      <c r="G14" s="34">
        <v>0.8</v>
      </c>
      <c r="H14" s="65">
        <f t="shared" ref="H14" si="2">D14*G14</f>
        <v>1584.0000000000002</v>
      </c>
      <c r="I14" s="65">
        <f>D14+H14+E14</f>
        <v>3564.0000000000005</v>
      </c>
      <c r="J14" s="66">
        <f t="shared" ref="J14:J17" si="3">I14*C14</f>
        <v>0</v>
      </c>
    </row>
    <row r="15" spans="1:17">
      <c r="A15" s="64" t="s">
        <v>189</v>
      </c>
      <c r="B15" s="28" t="s">
        <v>143</v>
      </c>
      <c r="C15" s="28">
        <v>0</v>
      </c>
      <c r="D15" s="65">
        <v>3500</v>
      </c>
      <c r="E15" s="34">
        <v>0.02</v>
      </c>
      <c r="F15" s="35">
        <f>E15*'Cálcul. trabalhado'!I4</f>
        <v>528.65499999999997</v>
      </c>
      <c r="G15" s="34">
        <v>0.8</v>
      </c>
      <c r="H15" s="65">
        <f>(D15+F15)*G15</f>
        <v>3222.924</v>
      </c>
      <c r="I15" s="65">
        <f>D15+H15+F15</f>
        <v>7251.5789999999997</v>
      </c>
      <c r="J15" s="66">
        <f t="shared" si="3"/>
        <v>0</v>
      </c>
    </row>
    <row r="16" spans="1:17">
      <c r="A16" s="64" t="s">
        <v>190</v>
      </c>
      <c r="B16" s="28" t="s">
        <v>146</v>
      </c>
      <c r="C16" s="28">
        <v>1</v>
      </c>
      <c r="D16" s="65">
        <f>D6*1.1</f>
        <v>2420</v>
      </c>
      <c r="G16" s="34">
        <v>0.8</v>
      </c>
      <c r="H16" s="65">
        <f>D16*G16</f>
        <v>1936</v>
      </c>
      <c r="I16" s="65">
        <f>D16+H16</f>
        <v>4356</v>
      </c>
      <c r="J16" s="66">
        <f>I16*C16</f>
        <v>4356</v>
      </c>
    </row>
    <row r="17" spans="1:10">
      <c r="A17" s="67"/>
      <c r="B17" s="28" t="s">
        <v>147</v>
      </c>
      <c r="C17" s="28">
        <v>0</v>
      </c>
      <c r="D17" s="65">
        <f t="shared" ref="D17:D18" si="4">D7*1.1</f>
        <v>3850.0000000000005</v>
      </c>
      <c r="G17" s="34">
        <v>0.8</v>
      </c>
      <c r="H17" s="65">
        <f>D17*G17</f>
        <v>3080.0000000000005</v>
      </c>
      <c r="I17" s="65">
        <f>D17+H17</f>
        <v>6930.0000000000009</v>
      </c>
      <c r="J17" s="66">
        <f t="shared" si="3"/>
        <v>0</v>
      </c>
    </row>
    <row r="18" spans="1:10">
      <c r="A18" s="64" t="s">
        <v>188</v>
      </c>
      <c r="B18" s="28" t="s">
        <v>187</v>
      </c>
      <c r="C18" s="28">
        <v>1</v>
      </c>
      <c r="D18" s="65">
        <f t="shared" si="4"/>
        <v>0</v>
      </c>
      <c r="G18" s="34"/>
      <c r="H18" s="65"/>
      <c r="I18" s="65"/>
      <c r="J18" s="66">
        <f>D18*C18</f>
        <v>0</v>
      </c>
    </row>
    <row r="19" spans="1:10">
      <c r="A19" s="67"/>
      <c r="I19" s="35">
        <f>SUM(I13:I17)</f>
        <v>22101.579000000002</v>
      </c>
      <c r="J19" s="66">
        <f>SUM(J13:J18)</f>
        <v>4356</v>
      </c>
    </row>
    <row r="20" spans="1:10" ht="15" thickBot="1">
      <c r="A20" s="68"/>
      <c r="B20" s="69" t="s">
        <v>195</v>
      </c>
      <c r="C20" s="69">
        <v>1</v>
      </c>
      <c r="D20" s="70">
        <v>5000</v>
      </c>
      <c r="E20" s="71"/>
      <c r="F20" s="71"/>
      <c r="G20" s="71"/>
      <c r="H20" s="71"/>
      <c r="I20" s="339">
        <f>C20*D20</f>
        <v>5000</v>
      </c>
      <c r="J20" s="72">
        <f>C20*D20</f>
        <v>5000</v>
      </c>
    </row>
    <row r="21" spans="1:10" ht="15.75" thickTop="1" thickBot="1">
      <c r="I21" s="35"/>
    </row>
    <row r="22" spans="1:10" ht="30.75" thickTop="1">
      <c r="A22" s="59">
        <v>2029</v>
      </c>
      <c r="B22" s="60" t="s">
        <v>140</v>
      </c>
      <c r="C22" s="61"/>
      <c r="D22" s="60" t="s">
        <v>144</v>
      </c>
      <c r="E22" s="60" t="s">
        <v>191</v>
      </c>
      <c r="F22" s="60" t="s">
        <v>192</v>
      </c>
      <c r="G22" s="62" t="s">
        <v>145</v>
      </c>
      <c r="H22" s="60" t="s">
        <v>193</v>
      </c>
      <c r="I22" s="62" t="s">
        <v>194</v>
      </c>
      <c r="J22" s="63" t="s">
        <v>138</v>
      </c>
    </row>
    <row r="23" spans="1:10">
      <c r="A23" s="64" t="s">
        <v>186</v>
      </c>
      <c r="B23" s="28" t="s">
        <v>141</v>
      </c>
      <c r="C23" s="28">
        <v>3</v>
      </c>
      <c r="D23" s="65">
        <f>D13*1.1</f>
        <v>0</v>
      </c>
      <c r="G23" s="34">
        <v>0.8</v>
      </c>
      <c r="H23" s="65">
        <f>D23*G23</f>
        <v>0</v>
      </c>
      <c r="I23" s="65">
        <f>D23+H23</f>
        <v>0</v>
      </c>
      <c r="J23" s="66">
        <f>I23*C23</f>
        <v>0</v>
      </c>
    </row>
    <row r="24" spans="1:10">
      <c r="A24" s="67"/>
      <c r="B24" s="28" t="s">
        <v>142</v>
      </c>
      <c r="C24" s="28">
        <v>0</v>
      </c>
      <c r="D24" s="65">
        <f>D14*1.1</f>
        <v>2178.0000000000005</v>
      </c>
      <c r="E24" s="35"/>
      <c r="F24" s="35"/>
      <c r="G24" s="34">
        <v>0.8</v>
      </c>
      <c r="H24" s="65">
        <f t="shared" ref="H24" si="5">D24*G24</f>
        <v>1742.4000000000005</v>
      </c>
      <c r="I24" s="65">
        <f>D24+H24+E24</f>
        <v>3920.400000000001</v>
      </c>
      <c r="J24" s="66">
        <f t="shared" ref="J24:J27" si="6">I24*C24</f>
        <v>0</v>
      </c>
    </row>
    <row r="25" spans="1:10">
      <c r="A25" s="64" t="s">
        <v>189</v>
      </c>
      <c r="B25" s="28" t="s">
        <v>143</v>
      </c>
      <c r="C25" s="28">
        <v>0</v>
      </c>
      <c r="D25" s="65">
        <v>4500</v>
      </c>
      <c r="E25" s="34">
        <v>0.02</v>
      </c>
      <c r="F25" s="35">
        <f>E25*'Cálcul. trabalhado'!I5</f>
        <v>1105.4374999999998</v>
      </c>
      <c r="G25" s="34">
        <v>0.8</v>
      </c>
      <c r="H25" s="65">
        <f>(D25+F25)*G25</f>
        <v>4484.3500000000004</v>
      </c>
      <c r="I25" s="65">
        <f>D25+H25+F25</f>
        <v>10089.7875</v>
      </c>
      <c r="J25" s="66">
        <f t="shared" si="6"/>
        <v>0</v>
      </c>
    </row>
    <row r="26" spans="1:10">
      <c r="A26" s="64" t="s">
        <v>190</v>
      </c>
      <c r="B26" s="28" t="s">
        <v>146</v>
      </c>
      <c r="C26" s="28">
        <v>1</v>
      </c>
      <c r="D26" s="65">
        <f>D16*1.1</f>
        <v>2662</v>
      </c>
      <c r="G26" s="34">
        <v>0.8</v>
      </c>
      <c r="H26" s="65">
        <f>D26*G26</f>
        <v>2129.6</v>
      </c>
      <c r="I26" s="65">
        <f>D26+H26</f>
        <v>4791.6000000000004</v>
      </c>
      <c r="J26" s="66">
        <f t="shared" si="6"/>
        <v>4791.6000000000004</v>
      </c>
    </row>
    <row r="27" spans="1:10">
      <c r="A27" s="67"/>
      <c r="B27" s="28" t="s">
        <v>147</v>
      </c>
      <c r="C27" s="28">
        <v>0</v>
      </c>
      <c r="D27" s="65">
        <f t="shared" ref="D27:D28" si="7">D17*1.1</f>
        <v>4235.0000000000009</v>
      </c>
      <c r="G27" s="34">
        <v>0.8</v>
      </c>
      <c r="H27" s="65">
        <f>D27*G27</f>
        <v>3388.0000000000009</v>
      </c>
      <c r="I27" s="65">
        <f>D27+H27</f>
        <v>7623.0000000000018</v>
      </c>
      <c r="J27" s="66">
        <f t="shared" si="6"/>
        <v>0</v>
      </c>
    </row>
    <row r="28" spans="1:10">
      <c r="A28" s="64" t="s">
        <v>188</v>
      </c>
      <c r="B28" s="28" t="s">
        <v>187</v>
      </c>
      <c r="C28" s="28">
        <v>1</v>
      </c>
      <c r="D28" s="65">
        <f t="shared" si="7"/>
        <v>0</v>
      </c>
      <c r="G28" s="34"/>
      <c r="H28" s="65"/>
      <c r="I28" s="65"/>
      <c r="J28" s="66">
        <f>D28*C28</f>
        <v>0</v>
      </c>
    </row>
    <row r="29" spans="1:10">
      <c r="A29" s="67"/>
      <c r="I29" s="35">
        <f>SUM(I23:I27)</f>
        <v>26424.787500000006</v>
      </c>
      <c r="J29" s="66">
        <f>SUM(J23:J28)</f>
        <v>4791.6000000000004</v>
      </c>
    </row>
    <row r="30" spans="1:10" ht="15" thickBot="1">
      <c r="A30" s="68"/>
      <c r="B30" s="69" t="s">
        <v>195</v>
      </c>
      <c r="C30" s="69">
        <v>1</v>
      </c>
      <c r="D30" s="70">
        <v>5500</v>
      </c>
      <c r="E30" s="71"/>
      <c r="F30" s="71"/>
      <c r="G30" s="71"/>
      <c r="H30" s="71"/>
      <c r="I30" s="339">
        <f>C30*D30</f>
        <v>5500</v>
      </c>
      <c r="J30" s="72">
        <f>C30*D30</f>
        <v>5500</v>
      </c>
    </row>
    <row r="31" spans="1:10" ht="15.75" thickTop="1" thickBot="1"/>
    <row r="32" spans="1:10" ht="30.75" thickTop="1">
      <c r="A32" s="59">
        <v>2030</v>
      </c>
      <c r="B32" s="60" t="s">
        <v>140</v>
      </c>
      <c r="C32" s="61"/>
      <c r="D32" s="60" t="s">
        <v>144</v>
      </c>
      <c r="E32" s="60" t="s">
        <v>191</v>
      </c>
      <c r="F32" s="60" t="s">
        <v>192</v>
      </c>
      <c r="G32" s="62" t="s">
        <v>145</v>
      </c>
      <c r="H32" s="60" t="s">
        <v>193</v>
      </c>
      <c r="I32" s="62" t="s">
        <v>194</v>
      </c>
      <c r="J32" s="63" t="s">
        <v>138</v>
      </c>
    </row>
    <row r="33" spans="1:10">
      <c r="A33" s="64" t="s">
        <v>186</v>
      </c>
      <c r="B33" s="28" t="s">
        <v>141</v>
      </c>
      <c r="C33" s="28">
        <v>3</v>
      </c>
      <c r="D33" s="65">
        <f>D23*1.1</f>
        <v>0</v>
      </c>
      <c r="G33" s="34">
        <v>0.8</v>
      </c>
      <c r="H33" s="65">
        <f>D33*G33</f>
        <v>0</v>
      </c>
      <c r="I33" s="65">
        <f>D33+H33</f>
        <v>0</v>
      </c>
      <c r="J33" s="66">
        <f>I33*C33</f>
        <v>0</v>
      </c>
    </row>
    <row r="34" spans="1:10">
      <c r="A34" s="67"/>
      <c r="B34" s="28" t="s">
        <v>142</v>
      </c>
      <c r="C34" s="28">
        <v>0</v>
      </c>
      <c r="D34" s="65">
        <f>D24*1.1</f>
        <v>2395.8000000000006</v>
      </c>
      <c r="E34" s="35"/>
      <c r="F34" s="35"/>
      <c r="G34" s="34">
        <v>0.8</v>
      </c>
      <c r="H34" s="65">
        <f t="shared" ref="H34" si="8">D34*G34</f>
        <v>1916.6400000000006</v>
      </c>
      <c r="I34" s="65">
        <f>D34+H34+E34</f>
        <v>4312.4400000000014</v>
      </c>
      <c r="J34" s="66">
        <f t="shared" ref="J34:J37" si="9">I34*C34</f>
        <v>0</v>
      </c>
    </row>
    <row r="35" spans="1:10">
      <c r="A35" s="64" t="s">
        <v>189</v>
      </c>
      <c r="B35" s="28" t="s">
        <v>143</v>
      </c>
      <c r="C35" s="28">
        <v>0</v>
      </c>
      <c r="D35" s="65">
        <v>5500</v>
      </c>
      <c r="E35" s="34">
        <v>0.02</v>
      </c>
      <c r="F35" s="35">
        <f>E35*'Cálcul. trabalhado'!I6</f>
        <v>1768.7</v>
      </c>
      <c r="G35" s="34">
        <v>0.8</v>
      </c>
      <c r="H35" s="65">
        <f>(D35+F35)*G35</f>
        <v>5814.96</v>
      </c>
      <c r="I35" s="65">
        <f>D35+H35+F35</f>
        <v>13083.66</v>
      </c>
      <c r="J35" s="66">
        <f t="shared" si="9"/>
        <v>0</v>
      </c>
    </row>
    <row r="36" spans="1:10">
      <c r="A36" s="64" t="s">
        <v>190</v>
      </c>
      <c r="B36" s="28" t="s">
        <v>146</v>
      </c>
      <c r="C36" s="28">
        <v>1</v>
      </c>
      <c r="D36" s="65">
        <f>D26*1.1</f>
        <v>2928.2000000000003</v>
      </c>
      <c r="G36" s="34">
        <v>0.8</v>
      </c>
      <c r="H36" s="65">
        <f>D36*G36</f>
        <v>2342.5600000000004</v>
      </c>
      <c r="I36" s="65">
        <f>D36+H36</f>
        <v>5270.76</v>
      </c>
      <c r="J36" s="66">
        <f t="shared" si="9"/>
        <v>5270.76</v>
      </c>
    </row>
    <row r="37" spans="1:10">
      <c r="A37" s="67"/>
      <c r="B37" s="28" t="s">
        <v>147</v>
      </c>
      <c r="C37" s="28">
        <v>0</v>
      </c>
      <c r="D37" s="65">
        <f t="shared" ref="D37:D38" si="10">D27*1.1</f>
        <v>4658.5000000000018</v>
      </c>
      <c r="G37" s="34">
        <v>0.8</v>
      </c>
      <c r="H37" s="65">
        <f>D37*G37</f>
        <v>3726.8000000000015</v>
      </c>
      <c r="I37" s="65">
        <f>D37+H37</f>
        <v>8385.3000000000029</v>
      </c>
      <c r="J37" s="66">
        <f t="shared" si="9"/>
        <v>0</v>
      </c>
    </row>
    <row r="38" spans="1:10">
      <c r="A38" s="64" t="s">
        <v>188</v>
      </c>
      <c r="B38" s="28" t="s">
        <v>187</v>
      </c>
      <c r="C38" s="28">
        <v>1</v>
      </c>
      <c r="D38" s="65">
        <f t="shared" si="10"/>
        <v>0</v>
      </c>
      <c r="G38" s="34"/>
      <c r="H38" s="65"/>
      <c r="I38" s="65"/>
      <c r="J38" s="66">
        <f>D38</f>
        <v>0</v>
      </c>
    </row>
    <row r="39" spans="1:10">
      <c r="A39" s="67"/>
      <c r="I39" s="35">
        <f>SUM(I33:I37)</f>
        <v>31052.160000000003</v>
      </c>
      <c r="J39" s="66">
        <f>SUM(J33:J38)</f>
        <v>5270.76</v>
      </c>
    </row>
    <row r="40" spans="1:10" ht="15" thickBot="1">
      <c r="A40" s="68"/>
      <c r="B40" s="69" t="s">
        <v>195</v>
      </c>
      <c r="C40" s="69">
        <v>1</v>
      </c>
      <c r="D40" s="70">
        <v>5500</v>
      </c>
      <c r="E40" s="71"/>
      <c r="F40" s="71"/>
      <c r="G40" s="71"/>
      <c r="H40" s="71"/>
      <c r="I40" s="339">
        <f>C40*D40</f>
        <v>5500</v>
      </c>
      <c r="J40" s="72">
        <f>C40*D40</f>
        <v>5500</v>
      </c>
    </row>
    <row r="41" spans="1:10" ht="15.75" thickTop="1" thickBot="1"/>
    <row r="42" spans="1:10" ht="30.75" thickTop="1">
      <c r="A42" s="59">
        <v>2031</v>
      </c>
      <c r="B42" s="60" t="s">
        <v>140</v>
      </c>
      <c r="C42" s="61"/>
      <c r="D42" s="60" t="s">
        <v>144</v>
      </c>
      <c r="E42" s="60" t="s">
        <v>191</v>
      </c>
      <c r="F42" s="60" t="s">
        <v>192</v>
      </c>
      <c r="G42" s="62" t="s">
        <v>145</v>
      </c>
      <c r="H42" s="60" t="s">
        <v>193</v>
      </c>
      <c r="I42" s="62" t="s">
        <v>194</v>
      </c>
      <c r="J42" s="63" t="s">
        <v>138</v>
      </c>
    </row>
    <row r="43" spans="1:10">
      <c r="A43" s="64" t="s">
        <v>186</v>
      </c>
      <c r="B43" s="28" t="s">
        <v>141</v>
      </c>
      <c r="C43" s="28">
        <v>3</v>
      </c>
      <c r="D43" s="65">
        <f>D33*1.1</f>
        <v>0</v>
      </c>
      <c r="G43" s="34">
        <v>0.8</v>
      </c>
      <c r="H43" s="65">
        <f>D43*G43</f>
        <v>0</v>
      </c>
      <c r="I43" s="65">
        <f>D43+H43</f>
        <v>0</v>
      </c>
      <c r="J43" s="66">
        <f>I43*C43</f>
        <v>0</v>
      </c>
    </row>
    <row r="44" spans="1:10">
      <c r="A44" s="67"/>
      <c r="B44" s="28" t="s">
        <v>142</v>
      </c>
      <c r="C44" s="28">
        <v>0</v>
      </c>
      <c r="D44" s="65">
        <f>D34*1.1</f>
        <v>2635.380000000001</v>
      </c>
      <c r="E44" s="35"/>
      <c r="F44" s="35"/>
      <c r="G44" s="34">
        <v>0.8</v>
      </c>
      <c r="H44" s="65">
        <f t="shared" ref="H44" si="11">D44*G44</f>
        <v>2108.304000000001</v>
      </c>
      <c r="I44" s="65">
        <f>D44+H44+E44</f>
        <v>4743.684000000002</v>
      </c>
      <c r="J44" s="66">
        <f t="shared" ref="J44:J47" si="12">I44*C44</f>
        <v>0</v>
      </c>
    </row>
    <row r="45" spans="1:10">
      <c r="A45" s="64" t="s">
        <v>189</v>
      </c>
      <c r="B45" s="28" t="s">
        <v>143</v>
      </c>
      <c r="C45" s="28">
        <v>0</v>
      </c>
      <c r="D45" s="65">
        <v>6500</v>
      </c>
      <c r="E45" s="34">
        <v>0.02</v>
      </c>
      <c r="F45" s="35">
        <f>E45*'Cálcul. trabalhado'!I7</f>
        <v>2210.8749999999995</v>
      </c>
      <c r="G45" s="34">
        <v>0.8</v>
      </c>
      <c r="H45" s="65">
        <f>(D45+F45)*G45</f>
        <v>6968.7000000000007</v>
      </c>
      <c r="I45" s="65">
        <f>D45+H45+F45</f>
        <v>15679.575000000001</v>
      </c>
      <c r="J45" s="66">
        <f t="shared" si="12"/>
        <v>0</v>
      </c>
    </row>
    <row r="46" spans="1:10">
      <c r="A46" s="64" t="s">
        <v>190</v>
      </c>
      <c r="B46" s="28" t="s">
        <v>146</v>
      </c>
      <c r="C46" s="28">
        <v>1</v>
      </c>
      <c r="D46" s="65">
        <f>D36*1.1</f>
        <v>3221.0200000000004</v>
      </c>
      <c r="G46" s="34">
        <v>0.8</v>
      </c>
      <c r="H46" s="65">
        <f>D46*G46</f>
        <v>2576.8160000000007</v>
      </c>
      <c r="I46" s="65">
        <f>D46+H46</f>
        <v>5797.8360000000011</v>
      </c>
      <c r="J46" s="66">
        <f t="shared" si="12"/>
        <v>5797.8360000000011</v>
      </c>
    </row>
    <row r="47" spans="1:10">
      <c r="A47" s="67"/>
      <c r="B47" s="28" t="s">
        <v>147</v>
      </c>
      <c r="C47" s="28">
        <v>0</v>
      </c>
      <c r="D47" s="65">
        <f t="shared" ref="D47:D48" si="13">D37*1.1</f>
        <v>5124.3500000000022</v>
      </c>
      <c r="G47" s="34">
        <v>0.8</v>
      </c>
      <c r="H47" s="65">
        <f>D47*G47</f>
        <v>4099.4800000000023</v>
      </c>
      <c r="I47" s="65">
        <f>D47+H47</f>
        <v>9223.8300000000054</v>
      </c>
      <c r="J47" s="66">
        <f t="shared" si="12"/>
        <v>0</v>
      </c>
    </row>
    <row r="48" spans="1:10">
      <c r="A48" s="64" t="s">
        <v>188</v>
      </c>
      <c r="B48" s="28" t="s">
        <v>187</v>
      </c>
      <c r="C48" s="28">
        <v>1</v>
      </c>
      <c r="D48" s="65">
        <f t="shared" si="13"/>
        <v>0</v>
      </c>
      <c r="G48" s="34"/>
      <c r="H48" s="65"/>
      <c r="I48" s="65"/>
      <c r="J48" s="66">
        <f>D48*C48</f>
        <v>0</v>
      </c>
    </row>
    <row r="49" spans="1:10">
      <c r="A49" s="67"/>
      <c r="I49" s="35">
        <f>SUM(I43:I47)</f>
        <v>35444.925000000003</v>
      </c>
      <c r="J49" s="66">
        <f>SUM(J43:J48)</f>
        <v>5797.8360000000011</v>
      </c>
    </row>
    <row r="50" spans="1:10" ht="15" thickBot="1">
      <c r="A50" s="68"/>
      <c r="B50" s="69" t="s">
        <v>195</v>
      </c>
      <c r="C50" s="69">
        <v>1</v>
      </c>
      <c r="D50" s="70">
        <v>6000</v>
      </c>
      <c r="E50" s="71"/>
      <c r="F50" s="71"/>
      <c r="G50" s="71"/>
      <c r="H50" s="71"/>
      <c r="I50" s="339">
        <f>C50*D50</f>
        <v>6000</v>
      </c>
      <c r="J50" s="72">
        <f>C50*D50</f>
        <v>6000</v>
      </c>
    </row>
    <row r="51" spans="1:10" ht="15.75" thickTop="1" thickBot="1"/>
    <row r="52" spans="1:10" ht="30.75" thickTop="1">
      <c r="A52" s="59">
        <v>2032</v>
      </c>
      <c r="B52" s="60" t="s">
        <v>140</v>
      </c>
      <c r="C52" s="61"/>
      <c r="D52" s="60" t="s">
        <v>144</v>
      </c>
      <c r="E52" s="60" t="s">
        <v>191</v>
      </c>
      <c r="F52" s="60" t="s">
        <v>192</v>
      </c>
      <c r="G52" s="62" t="s">
        <v>145</v>
      </c>
      <c r="H52" s="60" t="s">
        <v>193</v>
      </c>
      <c r="I52" s="62" t="s">
        <v>194</v>
      </c>
      <c r="J52" s="63" t="s">
        <v>138</v>
      </c>
    </row>
    <row r="53" spans="1:10">
      <c r="A53" s="64" t="s">
        <v>186</v>
      </c>
      <c r="B53" s="28" t="s">
        <v>141</v>
      </c>
      <c r="C53" s="28">
        <v>3</v>
      </c>
      <c r="D53" s="65">
        <f>D43*1.1</f>
        <v>0</v>
      </c>
      <c r="G53" s="34">
        <v>0.8</v>
      </c>
      <c r="H53" s="65">
        <f>D53*G53</f>
        <v>0</v>
      </c>
      <c r="I53" s="65">
        <f>D53+H53</f>
        <v>0</v>
      </c>
      <c r="J53" s="66">
        <f>I53*C53</f>
        <v>0</v>
      </c>
    </row>
    <row r="54" spans="1:10">
      <c r="A54" s="67"/>
      <c r="B54" s="28" t="s">
        <v>142</v>
      </c>
      <c r="C54" s="28">
        <v>0</v>
      </c>
      <c r="D54" s="65">
        <f>D44*1.1</f>
        <v>2898.9180000000015</v>
      </c>
      <c r="E54" s="35"/>
      <c r="F54" s="35"/>
      <c r="G54" s="34">
        <v>0.8</v>
      </c>
      <c r="H54" s="65">
        <f t="shared" ref="H54" si="14">D54*G54</f>
        <v>2319.1344000000013</v>
      </c>
      <c r="I54" s="65">
        <f>D54+H54+E54</f>
        <v>5218.0524000000023</v>
      </c>
      <c r="J54" s="66">
        <f t="shared" ref="J54:J57" si="15">I54*C54</f>
        <v>0</v>
      </c>
    </row>
    <row r="55" spans="1:10">
      <c r="A55" s="64" t="s">
        <v>189</v>
      </c>
      <c r="B55" s="28" t="s">
        <v>143</v>
      </c>
      <c r="C55" s="28">
        <v>0</v>
      </c>
      <c r="D55" s="65">
        <v>8000</v>
      </c>
      <c r="E55" s="34">
        <v>0.02</v>
      </c>
      <c r="F55" s="35">
        <f>E55*'Cálcul. trabalhado'!I8</f>
        <v>2653.0499999999993</v>
      </c>
      <c r="G55" s="34">
        <v>0.8</v>
      </c>
      <c r="H55" s="65">
        <f>(D55+F55)*G55</f>
        <v>8522.44</v>
      </c>
      <c r="I55" s="65">
        <f>D55+H55+F55</f>
        <v>19175.490000000002</v>
      </c>
      <c r="J55" s="66">
        <f t="shared" si="15"/>
        <v>0</v>
      </c>
    </row>
    <row r="56" spans="1:10">
      <c r="A56" s="64" t="s">
        <v>190</v>
      </c>
      <c r="B56" s="28" t="s">
        <v>146</v>
      </c>
      <c r="C56" s="28">
        <v>1</v>
      </c>
      <c r="D56" s="65">
        <f>D46*1.1</f>
        <v>3543.1220000000008</v>
      </c>
      <c r="G56" s="34">
        <v>0.8</v>
      </c>
      <c r="H56" s="65">
        <f>D56*G56</f>
        <v>2834.4976000000006</v>
      </c>
      <c r="I56" s="65">
        <f>D56+H56</f>
        <v>6377.6196000000018</v>
      </c>
      <c r="J56" s="66">
        <f t="shared" si="15"/>
        <v>6377.6196000000018</v>
      </c>
    </row>
    <row r="57" spans="1:10">
      <c r="A57" s="67"/>
      <c r="B57" s="28" t="s">
        <v>147</v>
      </c>
      <c r="C57" s="28">
        <v>0</v>
      </c>
      <c r="D57" s="65">
        <f t="shared" ref="D57:D58" si="16">D47*1.1</f>
        <v>5636.7850000000026</v>
      </c>
      <c r="G57" s="34">
        <v>0.8</v>
      </c>
      <c r="H57" s="65">
        <f>D57*G57</f>
        <v>4509.4280000000026</v>
      </c>
      <c r="I57" s="65">
        <f>D57+H57</f>
        <v>10146.213000000005</v>
      </c>
      <c r="J57" s="66">
        <f t="shared" si="15"/>
        <v>0</v>
      </c>
    </row>
    <row r="58" spans="1:10">
      <c r="A58" s="64" t="s">
        <v>188</v>
      </c>
      <c r="B58" s="28" t="s">
        <v>187</v>
      </c>
      <c r="C58" s="28">
        <v>1</v>
      </c>
      <c r="D58" s="65">
        <f t="shared" si="16"/>
        <v>0</v>
      </c>
      <c r="G58" s="34"/>
      <c r="H58" s="65"/>
      <c r="I58" s="65"/>
      <c r="J58" s="66">
        <f>D58</f>
        <v>0</v>
      </c>
    </row>
    <row r="59" spans="1:10">
      <c r="A59" s="67"/>
      <c r="I59" s="35">
        <f>SUM(I53:I57)</f>
        <v>40917.375000000015</v>
      </c>
      <c r="J59" s="66">
        <f>SUM(J53:J58)</f>
        <v>6377.6196000000018</v>
      </c>
    </row>
    <row r="60" spans="1:10" ht="15" thickBot="1">
      <c r="A60" s="68"/>
      <c r="B60" s="69" t="s">
        <v>195</v>
      </c>
      <c r="C60" s="69">
        <v>1</v>
      </c>
      <c r="D60" s="70">
        <v>6000</v>
      </c>
      <c r="E60" s="71"/>
      <c r="F60" s="71"/>
      <c r="G60" s="71"/>
      <c r="H60" s="71"/>
      <c r="I60" s="339">
        <f>C60*D60</f>
        <v>6000</v>
      </c>
      <c r="J60" s="72">
        <f>C60*D60</f>
        <v>6000</v>
      </c>
    </row>
    <row r="61" spans="1:10" ht="15.75" thickTop="1" thickBot="1"/>
    <row r="62" spans="1:10" ht="30.75" thickTop="1">
      <c r="A62" s="59">
        <v>2033</v>
      </c>
      <c r="B62" s="60" t="s">
        <v>140</v>
      </c>
      <c r="C62" s="61"/>
      <c r="D62" s="60" t="s">
        <v>144</v>
      </c>
      <c r="E62" s="60" t="s">
        <v>191</v>
      </c>
      <c r="F62" s="60" t="s">
        <v>192</v>
      </c>
      <c r="G62" s="62" t="s">
        <v>145</v>
      </c>
      <c r="H62" s="60" t="s">
        <v>193</v>
      </c>
      <c r="I62" s="62" t="s">
        <v>194</v>
      </c>
      <c r="J62" s="63" t="s">
        <v>138</v>
      </c>
    </row>
    <row r="63" spans="1:10">
      <c r="A63" s="64" t="s">
        <v>186</v>
      </c>
      <c r="B63" s="28" t="s">
        <v>141</v>
      </c>
      <c r="C63" s="28">
        <v>3</v>
      </c>
      <c r="D63" s="65">
        <f>D53*1.1</f>
        <v>0</v>
      </c>
      <c r="G63" s="34">
        <v>0.8</v>
      </c>
      <c r="H63" s="65">
        <f>D63*G63</f>
        <v>0</v>
      </c>
      <c r="I63" s="65">
        <f>D63+H63</f>
        <v>0</v>
      </c>
      <c r="J63" s="66">
        <f>I63*C63</f>
        <v>0</v>
      </c>
    </row>
    <row r="64" spans="1:10">
      <c r="A64" s="67"/>
      <c r="B64" s="28" t="s">
        <v>142</v>
      </c>
      <c r="C64" s="28">
        <v>0</v>
      </c>
      <c r="D64" s="65">
        <f>D54*1.1</f>
        <v>3188.8098000000018</v>
      </c>
      <c r="E64" s="35"/>
      <c r="F64" s="35"/>
      <c r="G64" s="34">
        <v>0.8</v>
      </c>
      <c r="H64" s="65">
        <f t="shared" ref="H64" si="17">D64*G64</f>
        <v>2551.0478400000015</v>
      </c>
      <c r="I64" s="65">
        <f>D64+H64+E64</f>
        <v>5739.8576400000038</v>
      </c>
      <c r="J64" s="66">
        <f t="shared" ref="J64:J67" si="18">I64*C64</f>
        <v>0</v>
      </c>
    </row>
    <row r="65" spans="1:10">
      <c r="A65" s="64" t="s">
        <v>189</v>
      </c>
      <c r="B65" s="28" t="s">
        <v>143</v>
      </c>
      <c r="C65" s="28">
        <v>0</v>
      </c>
      <c r="D65" s="65">
        <v>8000</v>
      </c>
      <c r="E65" s="34">
        <v>0.02</v>
      </c>
      <c r="F65" s="35">
        <f>E65*'Cálcul. trabalhado'!I27</f>
        <v>0</v>
      </c>
      <c r="G65" s="34">
        <v>0.8</v>
      </c>
      <c r="H65" s="65">
        <f>(D65+F65)*G65</f>
        <v>6400</v>
      </c>
      <c r="I65" s="65">
        <f>D65+H65+F65</f>
        <v>14400</v>
      </c>
      <c r="J65" s="66">
        <f t="shared" si="18"/>
        <v>0</v>
      </c>
    </row>
    <row r="66" spans="1:10">
      <c r="A66" s="64" t="s">
        <v>190</v>
      </c>
      <c r="B66" s="28" t="s">
        <v>146</v>
      </c>
      <c r="C66" s="28">
        <v>1</v>
      </c>
      <c r="D66" s="65">
        <f>D56*1.1</f>
        <v>3897.4342000000011</v>
      </c>
      <c r="G66" s="34">
        <v>0.8</v>
      </c>
      <c r="H66" s="65">
        <f>D66*G66</f>
        <v>3117.947360000001</v>
      </c>
      <c r="I66" s="65">
        <f>D66+H66</f>
        <v>7015.3815600000016</v>
      </c>
      <c r="J66" s="66">
        <f t="shared" si="18"/>
        <v>7015.3815600000016</v>
      </c>
    </row>
    <row r="67" spans="1:10">
      <c r="A67" s="67"/>
      <c r="B67" s="28" t="s">
        <v>147</v>
      </c>
      <c r="C67" s="28">
        <v>0</v>
      </c>
      <c r="D67" s="65">
        <f t="shared" ref="D67:D68" si="19">D57*1.1</f>
        <v>6200.4635000000035</v>
      </c>
      <c r="G67" s="34">
        <v>0.8</v>
      </c>
      <c r="H67" s="65">
        <f>D67*G67</f>
        <v>4960.3708000000033</v>
      </c>
      <c r="I67" s="65">
        <f>D67+H67</f>
        <v>11160.834300000006</v>
      </c>
      <c r="J67" s="66">
        <f t="shared" si="18"/>
        <v>0</v>
      </c>
    </row>
    <row r="68" spans="1:10">
      <c r="A68" s="64" t="s">
        <v>188</v>
      </c>
      <c r="B68" s="28" t="s">
        <v>187</v>
      </c>
      <c r="C68" s="28">
        <v>1</v>
      </c>
      <c r="D68" s="65">
        <f t="shared" si="19"/>
        <v>0</v>
      </c>
      <c r="G68" s="34"/>
      <c r="H68" s="65"/>
      <c r="I68" s="65"/>
      <c r="J68" s="66">
        <f>D68</f>
        <v>0</v>
      </c>
    </row>
    <row r="69" spans="1:10">
      <c r="A69" s="67"/>
      <c r="I69" s="35">
        <f>SUM(I63:I67)</f>
        <v>38316.073500000013</v>
      </c>
      <c r="J69" s="66">
        <f>SUM(J63:J68)</f>
        <v>7015.3815600000016</v>
      </c>
    </row>
    <row r="70" spans="1:10" ht="15" thickBot="1">
      <c r="A70" s="68"/>
      <c r="B70" s="69" t="s">
        <v>195</v>
      </c>
      <c r="C70" s="69">
        <v>1</v>
      </c>
      <c r="D70" s="70">
        <v>6600</v>
      </c>
      <c r="E70" s="71"/>
      <c r="F70" s="71"/>
      <c r="G70" s="71"/>
      <c r="H70" s="71"/>
      <c r="I70" s="339">
        <f>C70*D70</f>
        <v>6600</v>
      </c>
      <c r="J70" s="72">
        <f>C70*D70</f>
        <v>6600</v>
      </c>
    </row>
    <row r="71" spans="1:10" ht="15.75" thickTop="1" thickBot="1"/>
    <row r="72" spans="1:10" ht="30.75" thickTop="1">
      <c r="A72" s="59">
        <v>2034</v>
      </c>
      <c r="B72" s="60" t="s">
        <v>140</v>
      </c>
      <c r="C72" s="61"/>
      <c r="D72" s="60" t="s">
        <v>144</v>
      </c>
      <c r="E72" s="60" t="s">
        <v>191</v>
      </c>
      <c r="F72" s="60" t="s">
        <v>192</v>
      </c>
      <c r="G72" s="62" t="s">
        <v>145</v>
      </c>
      <c r="H72" s="60" t="s">
        <v>193</v>
      </c>
      <c r="I72" s="62" t="s">
        <v>194</v>
      </c>
      <c r="J72" s="63" t="s">
        <v>138</v>
      </c>
    </row>
    <row r="73" spans="1:10">
      <c r="A73" s="64" t="s">
        <v>186</v>
      </c>
      <c r="B73" s="28" t="s">
        <v>141</v>
      </c>
      <c r="C73" s="28">
        <v>3</v>
      </c>
      <c r="D73" s="65">
        <f>D63*1.1</f>
        <v>0</v>
      </c>
      <c r="G73" s="34">
        <v>0.8</v>
      </c>
      <c r="H73" s="65">
        <f>D73*G73</f>
        <v>0</v>
      </c>
      <c r="I73" s="65">
        <f>D73+H73</f>
        <v>0</v>
      </c>
      <c r="J73" s="66">
        <f>I73*C73</f>
        <v>0</v>
      </c>
    </row>
    <row r="74" spans="1:10">
      <c r="A74" s="67"/>
      <c r="B74" s="28" t="s">
        <v>142</v>
      </c>
      <c r="C74" s="28">
        <v>0</v>
      </c>
      <c r="D74" s="65">
        <f>D64*1.1</f>
        <v>3507.6907800000022</v>
      </c>
      <c r="E74" s="35"/>
      <c r="F74" s="35"/>
      <c r="G74" s="34">
        <v>0.8</v>
      </c>
      <c r="H74" s="65">
        <f t="shared" ref="H74" si="20">D74*G74</f>
        <v>2806.1526240000021</v>
      </c>
      <c r="I74" s="65"/>
      <c r="J74" s="66">
        <f t="shared" ref="J74:J77" si="21">I74*C74</f>
        <v>0</v>
      </c>
    </row>
    <row r="75" spans="1:10">
      <c r="A75" s="64" t="s">
        <v>189</v>
      </c>
      <c r="B75" s="28" t="s">
        <v>143</v>
      </c>
      <c r="C75" s="28">
        <v>0</v>
      </c>
      <c r="D75" s="65">
        <v>8000</v>
      </c>
      <c r="E75" s="34">
        <v>0.02</v>
      </c>
      <c r="F75" s="35">
        <f>E75*'Cálcul. trabalhado'!I37</f>
        <v>0</v>
      </c>
      <c r="G75" s="34">
        <v>0.8</v>
      </c>
      <c r="H75" s="65">
        <f>(D75+F75)*G75</f>
        <v>6400</v>
      </c>
      <c r="I75" s="65"/>
      <c r="J75" s="66">
        <f t="shared" si="21"/>
        <v>0</v>
      </c>
    </row>
    <row r="76" spans="1:10">
      <c r="A76" s="64" t="s">
        <v>190</v>
      </c>
      <c r="B76" s="28" t="s">
        <v>146</v>
      </c>
      <c r="C76" s="28">
        <v>1</v>
      </c>
      <c r="D76" s="65">
        <f>D66*1.1</f>
        <v>4287.1776200000013</v>
      </c>
      <c r="G76" s="34">
        <v>0.8</v>
      </c>
      <c r="H76" s="65">
        <f>D76*G76</f>
        <v>3429.7420960000013</v>
      </c>
      <c r="I76" s="65">
        <f>D76+H76</f>
        <v>7716.9197160000022</v>
      </c>
      <c r="J76" s="66">
        <f t="shared" si="21"/>
        <v>7716.9197160000022</v>
      </c>
    </row>
    <row r="77" spans="1:10">
      <c r="A77" s="67"/>
      <c r="B77" s="28" t="s">
        <v>147</v>
      </c>
      <c r="C77" s="28">
        <v>0</v>
      </c>
      <c r="D77" s="65">
        <f t="shared" ref="D77:D78" si="22">D67*1.1</f>
        <v>6820.509850000004</v>
      </c>
      <c r="G77" s="34">
        <v>0.8</v>
      </c>
      <c r="H77" s="65">
        <f>D77*G77</f>
        <v>5456.4078800000034</v>
      </c>
      <c r="I77" s="65"/>
      <c r="J77" s="66">
        <f t="shared" si="21"/>
        <v>0</v>
      </c>
    </row>
    <row r="78" spans="1:10">
      <c r="A78" s="64" t="s">
        <v>188</v>
      </c>
      <c r="B78" s="28" t="s">
        <v>187</v>
      </c>
      <c r="C78" s="28">
        <v>1</v>
      </c>
      <c r="D78" s="65">
        <f t="shared" si="22"/>
        <v>0</v>
      </c>
      <c r="G78" s="34"/>
      <c r="H78" s="65"/>
      <c r="I78" s="65"/>
      <c r="J78" s="66">
        <f>D78</f>
        <v>0</v>
      </c>
    </row>
    <row r="79" spans="1:10">
      <c r="A79" s="67"/>
      <c r="I79" s="35">
        <f>SUM(I73:I77)</f>
        <v>7716.9197160000022</v>
      </c>
      <c r="J79" s="66">
        <f>SUM(J73:J78)</f>
        <v>7716.9197160000022</v>
      </c>
    </row>
    <row r="80" spans="1:10" ht="15" thickBot="1">
      <c r="A80" s="68"/>
      <c r="B80" s="69" t="s">
        <v>195</v>
      </c>
      <c r="C80" s="69">
        <v>1</v>
      </c>
      <c r="D80" s="70">
        <v>7200</v>
      </c>
      <c r="E80" s="71"/>
      <c r="F80" s="71"/>
      <c r="G80" s="71"/>
      <c r="H80" s="71"/>
      <c r="I80" s="339">
        <f>C80*D80</f>
        <v>7200</v>
      </c>
      <c r="J80" s="72">
        <f>C80*D80</f>
        <v>7200</v>
      </c>
    </row>
    <row r="81" ht="15" thickTop="1"/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376-0454-4518-AD30-187AD7005087}">
  <dimension ref="A1:W46"/>
  <sheetViews>
    <sheetView zoomScale="80" zoomScaleNormal="80" workbookViewId="0">
      <selection activeCell="A8" sqref="A8:XFD8"/>
    </sheetView>
  </sheetViews>
  <sheetFormatPr defaultRowHeight="14.25"/>
  <cols>
    <col min="14" max="14" width="20.75" bestFit="1" customWidth="1"/>
    <col min="20" max="20" width="12.75" bestFit="1" customWidth="1"/>
    <col min="23" max="23" width="20.75" bestFit="1" customWidth="1"/>
  </cols>
  <sheetData>
    <row r="1" spans="1:21" ht="15">
      <c r="A1" s="495"/>
      <c r="B1" s="495"/>
      <c r="C1" s="495"/>
      <c r="D1" s="495"/>
      <c r="E1" s="495"/>
      <c r="F1" s="495"/>
    </row>
    <row r="2" spans="1:21" ht="15">
      <c r="A2" s="465" t="s">
        <v>31</v>
      </c>
      <c r="B2" s="466"/>
      <c r="C2" s="466"/>
      <c r="D2" s="479" t="s">
        <v>414</v>
      </c>
      <c r="E2" s="479"/>
      <c r="F2" s="480"/>
      <c r="G2" s="499" t="s">
        <v>252</v>
      </c>
      <c r="H2" s="500"/>
      <c r="I2" s="501"/>
      <c r="J2" s="502" t="s">
        <v>253</v>
      </c>
      <c r="K2" s="503"/>
      <c r="L2" s="504"/>
      <c r="M2" s="496" t="s">
        <v>284</v>
      </c>
      <c r="N2" s="497"/>
      <c r="O2" s="498"/>
      <c r="P2" s="508" t="s">
        <v>390</v>
      </c>
      <c r="Q2" s="509"/>
      <c r="R2" s="428" t="s">
        <v>466</v>
      </c>
      <c r="S2" s="428"/>
      <c r="T2" s="341" t="s">
        <v>599</v>
      </c>
      <c r="U2" s="158"/>
    </row>
    <row r="3" spans="1:21">
      <c r="A3" s="438" t="s">
        <v>245</v>
      </c>
      <c r="B3" s="438"/>
      <c r="C3" s="439"/>
      <c r="D3" s="458">
        <v>42432</v>
      </c>
      <c r="E3" s="442"/>
      <c r="F3" s="443"/>
      <c r="G3" s="481">
        <v>28935.65</v>
      </c>
      <c r="H3" s="482"/>
      <c r="I3" s="483"/>
      <c r="J3" s="460">
        <v>21140.880000000001</v>
      </c>
      <c r="K3" s="461"/>
      <c r="L3" s="462"/>
      <c r="M3" s="458">
        <v>20990</v>
      </c>
      <c r="N3" s="442"/>
      <c r="O3" s="443"/>
      <c r="P3" s="442">
        <v>32204.57</v>
      </c>
      <c r="Q3" s="443"/>
      <c r="R3" s="421"/>
      <c r="S3" s="423"/>
    </row>
    <row r="4" spans="1:21" ht="15">
      <c r="A4" s="436" t="s">
        <v>246</v>
      </c>
      <c r="B4" s="436"/>
      <c r="C4" s="437"/>
      <c r="D4" s="469">
        <v>62220</v>
      </c>
      <c r="E4" s="440"/>
      <c r="F4" s="441"/>
      <c r="G4" s="424">
        <v>39372.230000000003</v>
      </c>
      <c r="H4" s="484"/>
      <c r="I4" s="425"/>
      <c r="J4" s="469">
        <v>27667.75</v>
      </c>
      <c r="K4" s="440"/>
      <c r="L4" s="441"/>
      <c r="M4" s="469">
        <v>39590</v>
      </c>
      <c r="N4" s="440"/>
      <c r="O4" s="441"/>
      <c r="P4" s="440">
        <v>32089.09</v>
      </c>
      <c r="Q4" s="441"/>
      <c r="R4" s="429"/>
      <c r="S4" s="430"/>
      <c r="T4" s="519"/>
      <c r="U4" s="520"/>
    </row>
    <row r="5" spans="1:21">
      <c r="A5" s="438" t="s">
        <v>247</v>
      </c>
      <c r="B5" s="438"/>
      <c r="C5" s="439"/>
      <c r="D5" s="458">
        <v>51408</v>
      </c>
      <c r="E5" s="442"/>
      <c r="F5" s="443"/>
      <c r="G5" s="485">
        <v>40914.589999999997</v>
      </c>
      <c r="H5" s="486"/>
      <c r="I5" s="487"/>
      <c r="J5" s="478">
        <v>43770.559999999998</v>
      </c>
      <c r="K5" s="463"/>
      <c r="L5" s="464"/>
      <c r="M5" s="458">
        <v>24290</v>
      </c>
      <c r="N5" s="442"/>
      <c r="O5" s="443"/>
      <c r="P5" s="442">
        <v>28735.17</v>
      </c>
      <c r="Q5" s="443"/>
      <c r="R5" s="421"/>
      <c r="S5" s="423"/>
    </row>
    <row r="6" spans="1:21">
      <c r="A6" s="436" t="s">
        <v>248</v>
      </c>
      <c r="B6" s="436"/>
      <c r="C6" s="437"/>
      <c r="D6" s="469">
        <v>51408</v>
      </c>
      <c r="E6" s="440"/>
      <c r="F6" s="441"/>
      <c r="G6" s="424">
        <v>33959.199999999997</v>
      </c>
      <c r="H6" s="488"/>
      <c r="I6" s="425"/>
      <c r="J6" s="469">
        <v>21885.279999999999</v>
      </c>
      <c r="K6" s="440"/>
      <c r="L6" s="441"/>
      <c r="M6" s="469">
        <v>22990</v>
      </c>
      <c r="N6" s="440"/>
      <c r="O6" s="441"/>
      <c r="P6" s="440">
        <v>28456.37</v>
      </c>
      <c r="Q6" s="441"/>
      <c r="R6" s="424"/>
      <c r="S6" s="425"/>
    </row>
    <row r="7" spans="1:21">
      <c r="A7" s="438" t="s">
        <v>249</v>
      </c>
      <c r="B7" s="438"/>
      <c r="C7" s="439"/>
      <c r="D7" s="458">
        <v>82436.399999999994</v>
      </c>
      <c r="E7" s="442"/>
      <c r="F7" s="443"/>
      <c r="G7" s="421">
        <v>50432.41</v>
      </c>
      <c r="H7" s="422"/>
      <c r="I7" s="423"/>
      <c r="J7" s="458">
        <v>26731.3</v>
      </c>
      <c r="K7" s="442"/>
      <c r="L7" s="443"/>
      <c r="M7" s="458">
        <v>33190</v>
      </c>
      <c r="N7" s="442"/>
      <c r="O7" s="443"/>
      <c r="P7" s="458">
        <v>30769.95</v>
      </c>
      <c r="Q7" s="443"/>
      <c r="R7" s="421"/>
      <c r="S7" s="423"/>
    </row>
    <row r="8" spans="1:21">
      <c r="A8" s="438" t="s">
        <v>598</v>
      </c>
      <c r="B8" s="438"/>
      <c r="C8" s="439"/>
      <c r="D8" s="421"/>
      <c r="E8" s="422"/>
      <c r="F8" s="423"/>
      <c r="G8" s="421"/>
      <c r="H8" s="422"/>
      <c r="I8" s="423"/>
      <c r="J8" s="421"/>
      <c r="K8" s="422"/>
      <c r="L8" s="423"/>
      <c r="M8" s="421"/>
      <c r="N8" s="422"/>
      <c r="O8" s="423"/>
      <c r="P8" s="421"/>
      <c r="Q8" s="423"/>
      <c r="R8" s="421"/>
      <c r="S8" s="423"/>
      <c r="T8" s="340">
        <v>4000</v>
      </c>
    </row>
    <row r="9" spans="1:21">
      <c r="A9" s="436" t="s">
        <v>250</v>
      </c>
      <c r="B9" s="436"/>
      <c r="C9" s="437"/>
      <c r="D9" s="469">
        <v>67524</v>
      </c>
      <c r="E9" s="440"/>
      <c r="F9" s="441"/>
      <c r="G9" s="424">
        <v>88208.26</v>
      </c>
      <c r="H9" s="488"/>
      <c r="I9" s="425"/>
      <c r="J9" s="469">
        <v>21885.279999999999</v>
      </c>
      <c r="K9" s="440"/>
      <c r="L9" s="441"/>
      <c r="M9" s="469">
        <v>19590</v>
      </c>
      <c r="N9" s="440"/>
      <c r="O9" s="441"/>
      <c r="P9" s="440">
        <v>29015.01</v>
      </c>
      <c r="Q9" s="441"/>
      <c r="R9" s="424"/>
      <c r="S9" s="425"/>
    </row>
    <row r="10" spans="1:21">
      <c r="A10" s="438" t="s">
        <v>251</v>
      </c>
      <c r="B10" s="438"/>
      <c r="C10" s="439"/>
      <c r="D10" s="458">
        <v>35496</v>
      </c>
      <c r="E10" s="442"/>
      <c r="F10" s="443"/>
      <c r="G10" s="421">
        <v>50802.400000000001</v>
      </c>
      <c r="H10" s="422"/>
      <c r="I10" s="423"/>
      <c r="J10" s="458">
        <v>13756.46</v>
      </c>
      <c r="K10" s="442"/>
      <c r="L10" s="443"/>
      <c r="M10" s="458" t="s">
        <v>285</v>
      </c>
      <c r="N10" s="442"/>
      <c r="O10" s="443"/>
      <c r="P10" s="442">
        <v>24447.05</v>
      </c>
      <c r="Q10" s="443"/>
      <c r="R10" s="421"/>
      <c r="S10" s="423"/>
    </row>
    <row r="11" spans="1:21">
      <c r="A11" s="436" t="s">
        <v>262</v>
      </c>
      <c r="B11" s="436"/>
      <c r="C11" s="437"/>
      <c r="D11" s="469">
        <v>18768</v>
      </c>
      <c r="E11" s="440"/>
      <c r="F11" s="441"/>
      <c r="G11" s="489">
        <v>32203.81</v>
      </c>
      <c r="H11" s="490"/>
      <c r="I11" s="491"/>
      <c r="J11" s="459">
        <v>7539</v>
      </c>
      <c r="K11" s="445"/>
      <c r="L11" s="446"/>
      <c r="M11" s="469">
        <v>11180</v>
      </c>
      <c r="N11" s="440"/>
      <c r="O11" s="441"/>
      <c r="P11" s="440">
        <v>18762.86</v>
      </c>
      <c r="Q11" s="441"/>
      <c r="R11" s="424"/>
      <c r="S11" s="425"/>
    </row>
    <row r="12" spans="1:21">
      <c r="A12" s="438" t="s">
        <v>263</v>
      </c>
      <c r="B12" s="438"/>
      <c r="C12" s="439"/>
      <c r="D12" s="458">
        <v>13056</v>
      </c>
      <c r="E12" s="442"/>
      <c r="F12" s="443"/>
      <c r="G12" s="421">
        <v>14010.44</v>
      </c>
      <c r="H12" s="422"/>
      <c r="I12" s="423"/>
      <c r="J12" s="458">
        <v>5134.5</v>
      </c>
      <c r="K12" s="442"/>
      <c r="L12" s="443"/>
      <c r="M12" s="458">
        <v>5990</v>
      </c>
      <c r="N12" s="442"/>
      <c r="O12" s="443"/>
      <c r="P12" s="442">
        <v>8144.51</v>
      </c>
      <c r="Q12" s="443"/>
      <c r="R12" s="421"/>
      <c r="S12" s="423"/>
    </row>
    <row r="13" spans="1:21">
      <c r="A13" s="436" t="s">
        <v>467</v>
      </c>
      <c r="B13" s="436"/>
      <c r="C13" s="437"/>
      <c r="D13" s="488"/>
      <c r="E13" s="488"/>
      <c r="F13" s="425"/>
      <c r="G13" s="424"/>
      <c r="H13" s="488"/>
      <c r="I13" s="425"/>
      <c r="J13" s="424"/>
      <c r="K13" s="488"/>
      <c r="L13" s="425"/>
      <c r="M13" s="424"/>
      <c r="N13" s="488"/>
      <c r="O13" s="425"/>
      <c r="P13" s="424"/>
      <c r="Q13" s="425"/>
      <c r="R13" s="424">
        <v>15370.35</v>
      </c>
      <c r="S13" s="425"/>
    </row>
    <row r="14" spans="1:21">
      <c r="A14" s="523" t="s">
        <v>464</v>
      </c>
      <c r="B14" s="524"/>
      <c r="C14" s="525"/>
      <c r="D14" s="422"/>
      <c r="E14" s="422"/>
      <c r="F14" s="423"/>
      <c r="G14" s="421">
        <v>95912.5</v>
      </c>
      <c r="H14" s="422"/>
      <c r="I14" s="423"/>
      <c r="J14" s="421"/>
      <c r="K14" s="422"/>
      <c r="L14" s="423"/>
      <c r="M14" s="421"/>
      <c r="N14" s="422"/>
      <c r="O14" s="423"/>
      <c r="P14" s="458">
        <v>51132.82</v>
      </c>
      <c r="Q14" s="443"/>
      <c r="R14" s="421">
        <v>49225.3</v>
      </c>
      <c r="S14" s="423"/>
    </row>
    <row r="15" spans="1:21">
      <c r="A15" s="526" t="s">
        <v>454</v>
      </c>
      <c r="B15" s="526"/>
      <c r="C15" s="527"/>
      <c r="D15" s="488"/>
      <c r="E15" s="488"/>
      <c r="F15" s="425"/>
      <c r="G15" s="424">
        <v>31179.23</v>
      </c>
      <c r="H15" s="488"/>
      <c r="I15" s="425"/>
      <c r="J15" s="424"/>
      <c r="K15" s="488"/>
      <c r="L15" s="425"/>
      <c r="M15" s="424"/>
      <c r="N15" s="488"/>
      <c r="O15" s="425"/>
      <c r="P15" s="469">
        <v>15853.13</v>
      </c>
      <c r="Q15" s="441"/>
      <c r="R15" s="424">
        <v>14566.67</v>
      </c>
      <c r="S15" s="425"/>
    </row>
    <row r="16" spans="1:21" ht="15">
      <c r="D16" s="448">
        <f>D3+D4+D5+D6+D7+D9+D10+D11+D12</f>
        <v>424748.4</v>
      </c>
      <c r="E16" s="448"/>
      <c r="F16" s="449"/>
      <c r="G16" s="476">
        <f>G3+G5+G6+G7+G9+G10+G11+G12+G4+G13+G14+G15</f>
        <v>505930.72</v>
      </c>
      <c r="H16" s="476"/>
      <c r="I16" s="477"/>
      <c r="J16" s="475">
        <f>J3+J4+J5+J6+J7+J9+J10+J11+J12</f>
        <v>189511.00999999998</v>
      </c>
      <c r="K16" s="432"/>
      <c r="L16" s="433"/>
      <c r="M16" s="492">
        <f>M3+M4+M5+M6+M7+M9+M11+M12</f>
        <v>177810</v>
      </c>
      <c r="N16" s="493"/>
      <c r="O16" s="494"/>
      <c r="P16" s="448">
        <f>P3+P4+P5+P6+P7+P9+P10+P11+P12+P14+T4+P15</f>
        <v>299610.53000000003</v>
      </c>
      <c r="Q16" s="449"/>
      <c r="R16" s="426">
        <f>R13+R14+R15</f>
        <v>79162.320000000007</v>
      </c>
      <c r="S16" s="427"/>
    </row>
    <row r="18" spans="1:17">
      <c r="A18" s="79"/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</row>
    <row r="19" spans="1:17">
      <c r="A19" s="77"/>
      <c r="B19" s="77"/>
      <c r="C19" s="77"/>
      <c r="D19" s="78"/>
      <c r="E19" s="78"/>
      <c r="F19" s="78"/>
      <c r="G19" s="78"/>
      <c r="H19" s="78"/>
      <c r="I19" s="78"/>
      <c r="J19" s="78"/>
      <c r="K19" s="78"/>
      <c r="L19" s="78"/>
    </row>
    <row r="20" spans="1:17" ht="15">
      <c r="A20" s="465" t="s">
        <v>254</v>
      </c>
      <c r="B20" s="466"/>
      <c r="C20" s="466"/>
      <c r="D20" s="470" t="s">
        <v>259</v>
      </c>
      <c r="E20" s="470"/>
      <c r="F20" s="471"/>
      <c r="G20" s="472" t="s">
        <v>260</v>
      </c>
      <c r="H20" s="473"/>
      <c r="I20" s="474"/>
      <c r="J20" s="514" t="s">
        <v>261</v>
      </c>
      <c r="K20" s="515"/>
      <c r="L20" s="516"/>
      <c r="M20" s="517" t="s">
        <v>387</v>
      </c>
      <c r="N20" s="518"/>
      <c r="O20" s="508" t="s">
        <v>453</v>
      </c>
      <c r="P20" s="509"/>
      <c r="Q20" s="510"/>
    </row>
    <row r="21" spans="1:17">
      <c r="A21" s="438" t="s">
        <v>255</v>
      </c>
      <c r="B21" s="438"/>
      <c r="C21" s="439"/>
      <c r="D21" s="460">
        <v>7480</v>
      </c>
      <c r="E21" s="461"/>
      <c r="F21" s="462"/>
      <c r="G21" s="460">
        <v>8290</v>
      </c>
      <c r="H21" s="461"/>
      <c r="I21" s="462"/>
      <c r="J21" s="460">
        <v>5119</v>
      </c>
      <c r="K21" s="461"/>
      <c r="L21" s="462"/>
      <c r="M21" s="458">
        <v>9556.2199999999993</v>
      </c>
      <c r="N21" s="443"/>
      <c r="O21" s="511">
        <v>4508.04</v>
      </c>
      <c r="P21" s="512"/>
      <c r="Q21" s="513"/>
    </row>
    <row r="22" spans="1:17">
      <c r="A22" s="436" t="s">
        <v>256</v>
      </c>
      <c r="B22" s="436"/>
      <c r="C22" s="437"/>
      <c r="D22" s="440">
        <v>36956</v>
      </c>
      <c r="E22" s="440"/>
      <c r="F22" s="441"/>
      <c r="G22" s="469">
        <v>39360</v>
      </c>
      <c r="H22" s="440"/>
      <c r="I22" s="441"/>
      <c r="J22" s="469">
        <v>25661</v>
      </c>
      <c r="K22" s="440"/>
      <c r="L22" s="441"/>
      <c r="M22" s="469">
        <v>44492.56</v>
      </c>
      <c r="N22" s="441"/>
      <c r="O22" s="469">
        <v>27504.28</v>
      </c>
      <c r="P22" s="440"/>
      <c r="Q22" s="441"/>
    </row>
    <row r="23" spans="1:17">
      <c r="A23" s="438" t="s">
        <v>257</v>
      </c>
      <c r="B23" s="438"/>
      <c r="C23" s="439"/>
      <c r="D23" s="463">
        <v>16640</v>
      </c>
      <c r="E23" s="463"/>
      <c r="F23" s="464"/>
      <c r="G23" s="478">
        <v>31500</v>
      </c>
      <c r="H23" s="463"/>
      <c r="I23" s="464"/>
      <c r="J23" s="478">
        <v>20922</v>
      </c>
      <c r="K23" s="463"/>
      <c r="L23" s="464"/>
      <c r="M23" s="458">
        <v>27131.19</v>
      </c>
      <c r="N23" s="443"/>
      <c r="O23" s="511">
        <v>23488.34</v>
      </c>
      <c r="P23" s="512"/>
      <c r="Q23" s="513"/>
    </row>
    <row r="24" spans="1:17">
      <c r="A24" s="436" t="s">
        <v>258</v>
      </c>
      <c r="B24" s="436"/>
      <c r="C24" s="437"/>
      <c r="D24" s="440">
        <v>6090</v>
      </c>
      <c r="E24" s="440"/>
      <c r="F24" s="441"/>
      <c r="G24" s="469">
        <v>9750</v>
      </c>
      <c r="H24" s="440"/>
      <c r="I24" s="441"/>
      <c r="J24" s="469">
        <v>6890</v>
      </c>
      <c r="K24" s="440"/>
      <c r="L24" s="441"/>
      <c r="M24" s="469">
        <v>8570.2099999999991</v>
      </c>
      <c r="N24" s="441"/>
      <c r="O24" s="469">
        <v>4497.92</v>
      </c>
      <c r="P24" s="440"/>
      <c r="Q24" s="441"/>
    </row>
    <row r="25" spans="1:17">
      <c r="A25" s="438" t="s">
        <v>395</v>
      </c>
      <c r="B25" s="456"/>
      <c r="C25" s="457"/>
      <c r="D25" s="458">
        <v>0</v>
      </c>
      <c r="E25" s="442"/>
      <c r="F25" s="443"/>
      <c r="G25" s="458">
        <v>0</v>
      </c>
      <c r="H25" s="442"/>
      <c r="I25" s="443"/>
      <c r="J25" s="442">
        <v>2459.6</v>
      </c>
      <c r="K25" s="442"/>
      <c r="L25" s="443"/>
      <c r="M25" s="458">
        <v>0</v>
      </c>
      <c r="N25" s="443"/>
      <c r="O25" s="458"/>
      <c r="P25" s="442"/>
      <c r="Q25" s="443"/>
    </row>
    <row r="26" spans="1:17" ht="15">
      <c r="A26" s="77"/>
      <c r="B26" s="77"/>
      <c r="C26" s="77"/>
      <c r="D26" s="493">
        <f>D21+D22+D23+D24</f>
        <v>67166</v>
      </c>
      <c r="E26" s="493"/>
      <c r="F26" s="494"/>
      <c r="G26" s="492">
        <f>G21+G22+G23+G24</f>
        <v>88900</v>
      </c>
      <c r="H26" s="493"/>
      <c r="I26" s="494"/>
      <c r="J26" s="492">
        <f>J21+J22+J23+J24+J25</f>
        <v>61051.6</v>
      </c>
      <c r="K26" s="493"/>
      <c r="L26" s="494"/>
      <c r="M26" s="447">
        <f>M21+M22+M23+M24</f>
        <v>89750.18</v>
      </c>
      <c r="N26" s="449"/>
      <c r="O26" s="447">
        <f>O21+O22+O23+O24+O25</f>
        <v>59998.58</v>
      </c>
      <c r="P26" s="448"/>
      <c r="Q26" s="449"/>
    </row>
    <row r="28" spans="1:17" ht="15">
      <c r="A28" s="465" t="s">
        <v>264</v>
      </c>
      <c r="B28" s="466"/>
      <c r="C28" s="466"/>
      <c r="D28" s="467" t="s">
        <v>282</v>
      </c>
      <c r="E28" s="467"/>
      <c r="F28" s="468"/>
      <c r="G28" s="505" t="s">
        <v>387</v>
      </c>
      <c r="H28" s="506"/>
      <c r="I28" s="507"/>
    </row>
    <row r="29" spans="1:17" ht="15">
      <c r="A29" s="438" t="s">
        <v>265</v>
      </c>
      <c r="B29" s="438"/>
      <c r="C29" s="439"/>
      <c r="D29" s="460">
        <v>7000</v>
      </c>
      <c r="E29" s="461"/>
      <c r="F29" s="462"/>
      <c r="G29" s="450"/>
      <c r="H29" s="451"/>
      <c r="I29" s="452"/>
      <c r="J29" s="76"/>
      <c r="K29" s="76"/>
      <c r="L29" s="76"/>
    </row>
    <row r="30" spans="1:17">
      <c r="A30" s="436" t="s">
        <v>266</v>
      </c>
      <c r="B30" s="436"/>
      <c r="C30" s="437"/>
      <c r="D30" s="440">
        <v>1000</v>
      </c>
      <c r="E30" s="440"/>
      <c r="F30" s="441"/>
      <c r="G30" s="453">
        <v>898.64</v>
      </c>
      <c r="H30" s="454"/>
      <c r="I30" s="455"/>
      <c r="J30" s="80"/>
    </row>
    <row r="31" spans="1:17">
      <c r="A31" s="438" t="s">
        <v>267</v>
      </c>
      <c r="B31" s="438"/>
      <c r="C31" s="439"/>
      <c r="D31" s="463">
        <v>400</v>
      </c>
      <c r="E31" s="463"/>
      <c r="F31" s="464"/>
      <c r="G31" s="450"/>
      <c r="H31" s="451"/>
      <c r="I31" s="452"/>
      <c r="J31" s="81"/>
    </row>
    <row r="32" spans="1:17" ht="24.75" customHeight="1">
      <c r="A32" s="436" t="s">
        <v>268</v>
      </c>
      <c r="B32" s="436"/>
      <c r="C32" s="437"/>
      <c r="D32" s="440">
        <v>150</v>
      </c>
      <c r="E32" s="440"/>
      <c r="F32" s="441"/>
      <c r="G32" s="453"/>
      <c r="H32" s="454"/>
      <c r="I32" s="455"/>
      <c r="J32" s="82"/>
    </row>
    <row r="33" spans="1:23" ht="14.25" customHeight="1">
      <c r="A33" s="438" t="s">
        <v>269</v>
      </c>
      <c r="B33" s="438"/>
      <c r="C33" s="439"/>
      <c r="D33" s="442">
        <v>100</v>
      </c>
      <c r="E33" s="442"/>
      <c r="F33" s="443"/>
      <c r="G33" s="458"/>
      <c r="H33" s="442"/>
      <c r="I33" s="443"/>
      <c r="J33" s="81"/>
      <c r="K33" s="155"/>
      <c r="L33" s="155"/>
      <c r="M33" s="155"/>
    </row>
    <row r="34" spans="1:23">
      <c r="A34" s="436" t="s">
        <v>270</v>
      </c>
      <c r="B34" s="436"/>
      <c r="C34" s="437"/>
      <c r="D34" s="440">
        <v>800</v>
      </c>
      <c r="E34" s="440"/>
      <c r="F34" s="441"/>
      <c r="G34" s="453">
        <v>909.99</v>
      </c>
      <c r="H34" s="454"/>
      <c r="I34" s="455"/>
      <c r="J34" s="81"/>
      <c r="K34" s="81"/>
      <c r="L34" s="81"/>
    </row>
    <row r="35" spans="1:23">
      <c r="A35" s="438" t="s">
        <v>271</v>
      </c>
      <c r="B35" s="438"/>
      <c r="C35" s="439"/>
      <c r="D35" s="442">
        <v>200</v>
      </c>
      <c r="E35" s="442"/>
      <c r="F35" s="443"/>
      <c r="G35" s="450"/>
      <c r="H35" s="451"/>
      <c r="I35" s="452"/>
      <c r="J35" s="81"/>
      <c r="K35" s="81"/>
      <c r="L35" s="81"/>
    </row>
    <row r="36" spans="1:23" ht="20.25">
      <c r="A36" s="436" t="s">
        <v>272</v>
      </c>
      <c r="B36" s="436"/>
      <c r="C36" s="437"/>
      <c r="D36" s="459">
        <v>450</v>
      </c>
      <c r="E36" s="445"/>
      <c r="F36" s="446"/>
      <c r="G36" s="453"/>
      <c r="H36" s="454"/>
      <c r="I36" s="455"/>
      <c r="J36" s="81"/>
      <c r="K36" s="81"/>
      <c r="L36" s="81"/>
      <c r="T36" s="434" t="s">
        <v>283</v>
      </c>
      <c r="U36" s="435"/>
      <c r="V36" s="435"/>
      <c r="W36" s="83">
        <f>J16+J26+D46</f>
        <v>265112.61</v>
      </c>
    </row>
    <row r="37" spans="1:23">
      <c r="A37" s="438" t="s">
        <v>273</v>
      </c>
      <c r="B37" s="438"/>
      <c r="C37" s="439"/>
      <c r="D37" s="458">
        <v>300</v>
      </c>
      <c r="E37" s="442"/>
      <c r="F37" s="443"/>
      <c r="G37" s="450">
        <v>281.08</v>
      </c>
      <c r="H37" s="451"/>
      <c r="I37" s="452"/>
      <c r="J37" s="82"/>
      <c r="T37" s="81"/>
      <c r="U37" s="81"/>
    </row>
    <row r="38" spans="1:23" ht="20.25">
      <c r="A38" s="436" t="s">
        <v>274</v>
      </c>
      <c r="B38" s="436"/>
      <c r="C38" s="437"/>
      <c r="D38" s="444">
        <v>600</v>
      </c>
      <c r="E38" s="445"/>
      <c r="F38" s="446"/>
      <c r="G38" s="453">
        <v>598.65</v>
      </c>
      <c r="H38" s="454"/>
      <c r="I38" s="455"/>
      <c r="T38" s="434" t="s">
        <v>468</v>
      </c>
      <c r="U38" s="435"/>
      <c r="V38" s="435"/>
      <c r="W38" s="156">
        <f>G3+G4+G5+G6+G7+G9+T8+D11+D12+R13+R14+R15</f>
        <v>396808.65999999992</v>
      </c>
    </row>
    <row r="39" spans="1:23">
      <c r="A39" s="438" t="s">
        <v>275</v>
      </c>
      <c r="B39" s="438"/>
      <c r="C39" s="439"/>
      <c r="D39" s="442">
        <v>1500</v>
      </c>
      <c r="E39" s="442"/>
      <c r="F39" s="443"/>
      <c r="G39" s="450">
        <v>1783.77</v>
      </c>
      <c r="H39" s="451"/>
      <c r="I39" s="452"/>
    </row>
    <row r="40" spans="1:23" ht="20.25">
      <c r="A40" s="436" t="s">
        <v>276</v>
      </c>
      <c r="B40" s="436"/>
      <c r="C40" s="437"/>
      <c r="D40" s="440">
        <v>600</v>
      </c>
      <c r="E40" s="440"/>
      <c r="F40" s="441"/>
      <c r="G40" s="453">
        <v>635.33000000000004</v>
      </c>
      <c r="H40" s="454"/>
      <c r="I40" s="455"/>
      <c r="T40" s="521" t="s">
        <v>465</v>
      </c>
      <c r="U40" s="522"/>
      <c r="V40" s="522"/>
      <c r="W40" s="156">
        <f>W38+D46</f>
        <v>411358.65999999992</v>
      </c>
    </row>
    <row r="41" spans="1:23">
      <c r="A41" s="438" t="s">
        <v>277</v>
      </c>
      <c r="B41" s="438"/>
      <c r="C41" s="439"/>
      <c r="D41" s="442">
        <v>200</v>
      </c>
      <c r="E41" s="442"/>
      <c r="F41" s="443"/>
      <c r="G41" s="450">
        <v>104.77</v>
      </c>
      <c r="H41" s="451"/>
      <c r="I41" s="452"/>
    </row>
    <row r="42" spans="1:23">
      <c r="A42" s="436" t="s">
        <v>278</v>
      </c>
      <c r="B42" s="436"/>
      <c r="C42" s="437"/>
      <c r="D42" s="440">
        <v>500</v>
      </c>
      <c r="E42" s="440"/>
      <c r="F42" s="441"/>
      <c r="G42" s="453">
        <v>202.9</v>
      </c>
      <c r="H42" s="454"/>
      <c r="I42" s="455"/>
    </row>
    <row r="43" spans="1:23">
      <c r="A43" s="438" t="s">
        <v>279</v>
      </c>
      <c r="B43" s="438"/>
      <c r="C43" s="439"/>
      <c r="D43" s="442">
        <v>200</v>
      </c>
      <c r="E43" s="442"/>
      <c r="F43" s="443"/>
      <c r="G43" s="450">
        <v>2558.33</v>
      </c>
      <c r="H43" s="451"/>
      <c r="I43" s="452"/>
    </row>
    <row r="44" spans="1:23">
      <c r="A44" s="436" t="s">
        <v>280</v>
      </c>
      <c r="B44" s="436"/>
      <c r="C44" s="437"/>
      <c r="D44" s="440">
        <v>400</v>
      </c>
      <c r="E44" s="440"/>
      <c r="F44" s="441"/>
      <c r="G44" s="453">
        <v>479.91</v>
      </c>
      <c r="H44" s="454"/>
      <c r="I44" s="455"/>
    </row>
    <row r="45" spans="1:23">
      <c r="A45" s="438" t="s">
        <v>281</v>
      </c>
      <c r="B45" s="438"/>
      <c r="C45" s="439"/>
      <c r="D45" s="442">
        <v>150</v>
      </c>
      <c r="E45" s="442"/>
      <c r="F45" s="443"/>
      <c r="G45" s="450">
        <v>90.64</v>
      </c>
      <c r="H45" s="451"/>
      <c r="I45" s="452"/>
    </row>
    <row r="46" spans="1:23" ht="15">
      <c r="D46" s="431">
        <f>D29+D30+D31+D32+D33+D34+D35+D36+D37+D38+D39+D40+D41+D42+D43+D44+D45</f>
        <v>14550</v>
      </c>
      <c r="E46" s="432"/>
      <c r="F46" s="433"/>
      <c r="G46" s="447">
        <f>G30+G34+G37+G38+G39+G40+G41+G42+G43+G44+G45</f>
        <v>8544.01</v>
      </c>
      <c r="H46" s="448"/>
      <c r="I46" s="449"/>
    </row>
  </sheetData>
  <mergeCells count="206">
    <mergeCell ref="T40:V40"/>
    <mergeCell ref="T38:V38"/>
    <mergeCell ref="A13:C13"/>
    <mergeCell ref="D13:F13"/>
    <mergeCell ref="G13:I13"/>
    <mergeCell ref="J13:L13"/>
    <mergeCell ref="M13:O13"/>
    <mergeCell ref="P13:Q13"/>
    <mergeCell ref="A14:C14"/>
    <mergeCell ref="D14:F14"/>
    <mergeCell ref="G14:I14"/>
    <mergeCell ref="J14:L14"/>
    <mergeCell ref="M14:O14"/>
    <mergeCell ref="A15:C15"/>
    <mergeCell ref="D15:F15"/>
    <mergeCell ref="G15:I15"/>
    <mergeCell ref="J15:L15"/>
    <mergeCell ref="M15:O15"/>
    <mergeCell ref="P14:Q14"/>
    <mergeCell ref="A24:C24"/>
    <mergeCell ref="D24:F24"/>
    <mergeCell ref="D26:F26"/>
    <mergeCell ref="A23:C23"/>
    <mergeCell ref="D23:F23"/>
    <mergeCell ref="T4:U4"/>
    <mergeCell ref="P15:Q15"/>
    <mergeCell ref="M23:N23"/>
    <mergeCell ref="M24:N24"/>
    <mergeCell ref="O23:Q23"/>
    <mergeCell ref="O24:Q24"/>
    <mergeCell ref="P2:Q2"/>
    <mergeCell ref="M26:N26"/>
    <mergeCell ref="P3:Q3"/>
    <mergeCell ref="P4:Q4"/>
    <mergeCell ref="P5:Q5"/>
    <mergeCell ref="P6:Q6"/>
    <mergeCell ref="P7:Q7"/>
    <mergeCell ref="P9:Q9"/>
    <mergeCell ref="P10:Q10"/>
    <mergeCell ref="P11:Q11"/>
    <mergeCell ref="P12:Q12"/>
    <mergeCell ref="P16:Q16"/>
    <mergeCell ref="M25:N25"/>
    <mergeCell ref="M10:O10"/>
    <mergeCell ref="M11:O11"/>
    <mergeCell ref="M12:O12"/>
    <mergeCell ref="M16:O16"/>
    <mergeCell ref="M9:O9"/>
    <mergeCell ref="O20:Q20"/>
    <mergeCell ref="O21:Q21"/>
    <mergeCell ref="O22:Q22"/>
    <mergeCell ref="G45:I45"/>
    <mergeCell ref="J10:L10"/>
    <mergeCell ref="J11:L11"/>
    <mergeCell ref="G24:I24"/>
    <mergeCell ref="G26:I26"/>
    <mergeCell ref="G23:I23"/>
    <mergeCell ref="G25:I25"/>
    <mergeCell ref="J25:L25"/>
    <mergeCell ref="J12:L12"/>
    <mergeCell ref="J20:L20"/>
    <mergeCell ref="J21:L21"/>
    <mergeCell ref="J22:L22"/>
    <mergeCell ref="O25:Q25"/>
    <mergeCell ref="O26:Q26"/>
    <mergeCell ref="G33:I33"/>
    <mergeCell ref="M20:N20"/>
    <mergeCell ref="M21:N21"/>
    <mergeCell ref="M22:N22"/>
    <mergeCell ref="G36:I36"/>
    <mergeCell ref="G37:I37"/>
    <mergeCell ref="G38:I38"/>
    <mergeCell ref="G39:I39"/>
    <mergeCell ref="G40:I40"/>
    <mergeCell ref="G28:I28"/>
    <mergeCell ref="G29:I29"/>
    <mergeCell ref="G30:I30"/>
    <mergeCell ref="G31:I31"/>
    <mergeCell ref="G32:I32"/>
    <mergeCell ref="G34:I34"/>
    <mergeCell ref="G35:I35"/>
    <mergeCell ref="J23:L23"/>
    <mergeCell ref="J24:L24"/>
    <mergeCell ref="J26:L26"/>
    <mergeCell ref="A1:F1"/>
    <mergeCell ref="A2:C2"/>
    <mergeCell ref="A3:C3"/>
    <mergeCell ref="M2:O2"/>
    <mergeCell ref="M3:O3"/>
    <mergeCell ref="A4:C4"/>
    <mergeCell ref="A5:C5"/>
    <mergeCell ref="A6:C6"/>
    <mergeCell ref="A7:C7"/>
    <mergeCell ref="D5:F5"/>
    <mergeCell ref="D6:F6"/>
    <mergeCell ref="D7:F7"/>
    <mergeCell ref="G2:I2"/>
    <mergeCell ref="M4:O4"/>
    <mergeCell ref="M5:O5"/>
    <mergeCell ref="M6:O6"/>
    <mergeCell ref="M7:O7"/>
    <mergeCell ref="A10:C10"/>
    <mergeCell ref="J2:L2"/>
    <mergeCell ref="J3:L3"/>
    <mergeCell ref="J4:L4"/>
    <mergeCell ref="J5:L5"/>
    <mergeCell ref="J6:L6"/>
    <mergeCell ref="A11:C11"/>
    <mergeCell ref="A9:C9"/>
    <mergeCell ref="J7:L7"/>
    <mergeCell ref="J9:L9"/>
    <mergeCell ref="D2:F2"/>
    <mergeCell ref="D3:F3"/>
    <mergeCell ref="D4:F4"/>
    <mergeCell ref="D9:F9"/>
    <mergeCell ref="D10:F10"/>
    <mergeCell ref="D11:F11"/>
    <mergeCell ref="G3:I3"/>
    <mergeCell ref="G4:I4"/>
    <mergeCell ref="G5:I5"/>
    <mergeCell ref="G6:I6"/>
    <mergeCell ref="G7:I7"/>
    <mergeCell ref="G9:I9"/>
    <mergeCell ref="G10:I10"/>
    <mergeCell ref="G11:I11"/>
    <mergeCell ref="A8:C8"/>
    <mergeCell ref="D8:F8"/>
    <mergeCell ref="G8:I8"/>
    <mergeCell ref="J8:L8"/>
    <mergeCell ref="G22:I22"/>
    <mergeCell ref="D20:F20"/>
    <mergeCell ref="G20:I20"/>
    <mergeCell ref="D21:F21"/>
    <mergeCell ref="G21:I21"/>
    <mergeCell ref="J16:L16"/>
    <mergeCell ref="G16:I16"/>
    <mergeCell ref="A12:C12"/>
    <mergeCell ref="A22:C22"/>
    <mergeCell ref="A20:C20"/>
    <mergeCell ref="A21:C21"/>
    <mergeCell ref="G12:I12"/>
    <mergeCell ref="A25:C25"/>
    <mergeCell ref="D25:F25"/>
    <mergeCell ref="D16:F16"/>
    <mergeCell ref="D12:F12"/>
    <mergeCell ref="A36:C36"/>
    <mergeCell ref="D36:F36"/>
    <mergeCell ref="D37:F37"/>
    <mergeCell ref="A34:C34"/>
    <mergeCell ref="D34:F34"/>
    <mergeCell ref="A35:C35"/>
    <mergeCell ref="D35:F35"/>
    <mergeCell ref="A29:C29"/>
    <mergeCell ref="D29:F29"/>
    <mergeCell ref="D33:F33"/>
    <mergeCell ref="A30:C30"/>
    <mergeCell ref="D30:F30"/>
    <mergeCell ref="A31:C31"/>
    <mergeCell ref="D31:F31"/>
    <mergeCell ref="A28:C28"/>
    <mergeCell ref="D28:F28"/>
    <mergeCell ref="A32:C32"/>
    <mergeCell ref="D32:F32"/>
    <mergeCell ref="A33:C33"/>
    <mergeCell ref="D22:F22"/>
    <mergeCell ref="D46:F46"/>
    <mergeCell ref="T36:V36"/>
    <mergeCell ref="A44:C44"/>
    <mergeCell ref="A45:C45"/>
    <mergeCell ref="D40:F40"/>
    <mergeCell ref="D41:F41"/>
    <mergeCell ref="D42:F42"/>
    <mergeCell ref="D43:F43"/>
    <mergeCell ref="D44:F44"/>
    <mergeCell ref="D45:F45"/>
    <mergeCell ref="A39:C39"/>
    <mergeCell ref="D39:F39"/>
    <mergeCell ref="A40:C40"/>
    <mergeCell ref="A41:C41"/>
    <mergeCell ref="A42:C42"/>
    <mergeCell ref="A43:C43"/>
    <mergeCell ref="A37:C37"/>
    <mergeCell ref="D38:F38"/>
    <mergeCell ref="A38:C38"/>
    <mergeCell ref="G46:I46"/>
    <mergeCell ref="G41:I41"/>
    <mergeCell ref="G42:I42"/>
    <mergeCell ref="G43:I43"/>
    <mergeCell ref="G44:I44"/>
    <mergeCell ref="M8:O8"/>
    <mergeCell ref="P8:Q8"/>
    <mergeCell ref="R8:S8"/>
    <mergeCell ref="R13:S13"/>
    <mergeCell ref="R14:S14"/>
    <mergeCell ref="R15:S15"/>
    <mergeCell ref="R16:S16"/>
    <mergeCell ref="R2:S2"/>
    <mergeCell ref="R3:S3"/>
    <mergeCell ref="R5:S5"/>
    <mergeCell ref="R6:S6"/>
    <mergeCell ref="R7:S7"/>
    <mergeCell ref="R9:S9"/>
    <mergeCell ref="R10:S10"/>
    <mergeCell ref="R11:S11"/>
    <mergeCell ref="R12:S12"/>
    <mergeCell ref="R4:S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62B7-BC1C-4743-BA37-F5E5FE45D740}">
  <dimension ref="A1:I63"/>
  <sheetViews>
    <sheetView topLeftCell="A30" workbookViewId="0">
      <selection activeCell="B51" sqref="B51"/>
    </sheetView>
  </sheetViews>
  <sheetFormatPr defaultRowHeight="14.25"/>
  <cols>
    <col min="1" max="1" width="38.375" style="28" bestFit="1" customWidth="1"/>
    <col min="2" max="4" width="15.75" style="28" customWidth="1"/>
    <col min="5" max="5" width="9.875" bestFit="1" customWidth="1"/>
    <col min="6" max="6" width="38.25" customWidth="1"/>
    <col min="7" max="7" width="15.875" customWidth="1"/>
    <col min="8" max="9" width="15.75" customWidth="1"/>
  </cols>
  <sheetData>
    <row r="1" spans="1:5" ht="15">
      <c r="A1" s="176"/>
      <c r="B1" s="177" t="s">
        <v>477</v>
      </c>
      <c r="C1" s="177" t="s">
        <v>179</v>
      </c>
      <c r="D1" s="191" t="s">
        <v>178</v>
      </c>
      <c r="E1" s="165" t="s">
        <v>511</v>
      </c>
    </row>
    <row r="2" spans="1:5" ht="15">
      <c r="A2" s="92" t="s">
        <v>481</v>
      </c>
      <c r="B2" s="172"/>
      <c r="C2" s="165"/>
      <c r="D2" s="192">
        <f>D10</f>
        <v>46150</v>
      </c>
      <c r="E2" s="86"/>
    </row>
    <row r="3" spans="1:5">
      <c r="A3" s="178" t="s">
        <v>476</v>
      </c>
      <c r="B3" s="173">
        <v>45943</v>
      </c>
      <c r="C3" s="85">
        <v>90</v>
      </c>
      <c r="D3" s="193">
        <f t="shared" ref="D3:D10" si="0">B3+C3</f>
        <v>46033</v>
      </c>
      <c r="E3" s="86">
        <f t="shared" ref="E3:E10" si="1">B3-DATE(2025,10,1)</f>
        <v>12</v>
      </c>
    </row>
    <row r="4" spans="1:5">
      <c r="A4" s="162" t="s">
        <v>478</v>
      </c>
      <c r="B4" s="173">
        <v>45992</v>
      </c>
      <c r="C4" s="85">
        <v>89</v>
      </c>
      <c r="D4" s="193">
        <f t="shared" si="0"/>
        <v>46081</v>
      </c>
      <c r="E4" s="86">
        <f t="shared" si="1"/>
        <v>61</v>
      </c>
    </row>
    <row r="5" spans="1:5" ht="28.5">
      <c r="A5" s="179" t="s">
        <v>514</v>
      </c>
      <c r="B5" s="174">
        <f t="shared" ref="B5:B10" si="2">D4</f>
        <v>46081</v>
      </c>
      <c r="C5" s="175">
        <v>15</v>
      </c>
      <c r="D5" s="194">
        <f t="shared" si="0"/>
        <v>46096</v>
      </c>
      <c r="E5" s="86">
        <f t="shared" si="1"/>
        <v>150</v>
      </c>
    </row>
    <row r="6" spans="1:5">
      <c r="A6" s="162" t="s">
        <v>479</v>
      </c>
      <c r="B6" s="173">
        <f t="shared" si="2"/>
        <v>46096</v>
      </c>
      <c r="C6" s="85">
        <v>20</v>
      </c>
      <c r="D6" s="193">
        <f t="shared" si="0"/>
        <v>46116</v>
      </c>
      <c r="E6" s="86">
        <f t="shared" si="1"/>
        <v>165</v>
      </c>
    </row>
    <row r="7" spans="1:5">
      <c r="A7" s="162" t="s">
        <v>480</v>
      </c>
      <c r="B7" s="173">
        <f t="shared" si="2"/>
        <v>46116</v>
      </c>
      <c r="C7" s="85">
        <v>15</v>
      </c>
      <c r="D7" s="193">
        <f t="shared" si="0"/>
        <v>46131</v>
      </c>
      <c r="E7" s="86">
        <f t="shared" si="1"/>
        <v>185</v>
      </c>
    </row>
    <row r="8" spans="1:5">
      <c r="A8" s="162" t="s">
        <v>515</v>
      </c>
      <c r="B8" s="173">
        <f t="shared" si="2"/>
        <v>46131</v>
      </c>
      <c r="C8" s="85">
        <v>5</v>
      </c>
      <c r="D8" s="195">
        <f t="shared" si="0"/>
        <v>46136</v>
      </c>
      <c r="E8" s="86">
        <f t="shared" si="1"/>
        <v>200</v>
      </c>
    </row>
    <row r="9" spans="1:5">
      <c r="A9" s="162" t="s">
        <v>482</v>
      </c>
      <c r="B9" s="173">
        <f t="shared" si="2"/>
        <v>46136</v>
      </c>
      <c r="C9" s="85">
        <v>7</v>
      </c>
      <c r="D9" s="193">
        <f t="shared" si="0"/>
        <v>46143</v>
      </c>
      <c r="E9" s="86">
        <f t="shared" si="1"/>
        <v>205</v>
      </c>
    </row>
    <row r="10" spans="1:5" ht="15" thickBot="1">
      <c r="A10" s="163" t="s">
        <v>483</v>
      </c>
      <c r="B10" s="180">
        <f t="shared" si="2"/>
        <v>46143</v>
      </c>
      <c r="C10" s="164">
        <v>7</v>
      </c>
      <c r="D10" s="196">
        <f t="shared" si="0"/>
        <v>46150</v>
      </c>
      <c r="E10" s="86">
        <f t="shared" si="1"/>
        <v>212</v>
      </c>
    </row>
    <row r="11" spans="1:5">
      <c r="B11" s="30"/>
      <c r="D11" s="30"/>
    </row>
    <row r="12" spans="1:5" ht="15" thickBot="1">
      <c r="B12" s="30"/>
      <c r="D12" s="30"/>
    </row>
    <row r="13" spans="1:5" ht="15">
      <c r="A13" s="186"/>
      <c r="B13" s="177" t="s">
        <v>177</v>
      </c>
      <c r="C13" s="177" t="s">
        <v>179</v>
      </c>
      <c r="D13" s="191" t="s">
        <v>178</v>
      </c>
      <c r="E13" s="165" t="s">
        <v>511</v>
      </c>
    </row>
    <row r="14" spans="1:5" ht="15">
      <c r="A14" s="92" t="s">
        <v>484</v>
      </c>
      <c r="B14" s="172">
        <f>B15</f>
        <v>46136</v>
      </c>
      <c r="C14" s="165">
        <f>SUM(C15:C19)</f>
        <v>100</v>
      </c>
      <c r="D14" s="192">
        <f>D19</f>
        <v>46236</v>
      </c>
      <c r="E14" s="86">
        <f t="shared" ref="E14:E19" si="3">B14-DATE(2025,10,1)</f>
        <v>205</v>
      </c>
    </row>
    <row r="15" spans="1:5">
      <c r="A15" s="178" t="s">
        <v>485</v>
      </c>
      <c r="B15" s="184">
        <f>D8</f>
        <v>46136</v>
      </c>
      <c r="C15" s="166">
        <v>5</v>
      </c>
      <c r="D15" s="197">
        <f>B15+C15</f>
        <v>46141</v>
      </c>
      <c r="E15" s="86">
        <f t="shared" si="3"/>
        <v>205</v>
      </c>
    </row>
    <row r="16" spans="1:5">
      <c r="A16" s="178" t="s">
        <v>486</v>
      </c>
      <c r="B16" s="183">
        <f>B15</f>
        <v>46136</v>
      </c>
      <c r="C16" s="166">
        <v>20</v>
      </c>
      <c r="D16" s="197">
        <f>B16+C16</f>
        <v>46156</v>
      </c>
      <c r="E16" s="86">
        <f t="shared" si="3"/>
        <v>205</v>
      </c>
    </row>
    <row r="17" spans="1:6">
      <c r="A17" s="178" t="s">
        <v>487</v>
      </c>
      <c r="B17" s="183">
        <f>D16</f>
        <v>46156</v>
      </c>
      <c r="C17" s="166">
        <v>15</v>
      </c>
      <c r="D17" s="268">
        <f>B17+C17</f>
        <v>46171</v>
      </c>
      <c r="E17" s="86">
        <f t="shared" si="3"/>
        <v>225</v>
      </c>
    </row>
    <row r="18" spans="1:6">
      <c r="A18" s="178" t="s">
        <v>496</v>
      </c>
      <c r="B18" s="185">
        <f>D17</f>
        <v>46171</v>
      </c>
      <c r="C18" s="166">
        <v>15</v>
      </c>
      <c r="D18" s="271">
        <f>B18+C18</f>
        <v>46186</v>
      </c>
      <c r="E18" s="86">
        <f t="shared" si="3"/>
        <v>240</v>
      </c>
    </row>
    <row r="19" spans="1:6" ht="15" thickBot="1">
      <c r="A19" s="187" t="s">
        <v>492</v>
      </c>
      <c r="B19" s="188">
        <v>46191</v>
      </c>
      <c r="C19" s="189">
        <v>45</v>
      </c>
      <c r="D19" s="198">
        <f>B19+C19</f>
        <v>46236</v>
      </c>
      <c r="E19" s="86">
        <f t="shared" si="3"/>
        <v>260</v>
      </c>
    </row>
    <row r="20" spans="1:6" ht="15" thickBot="1"/>
    <row r="21" spans="1:6" ht="15">
      <c r="A21" s="176"/>
      <c r="B21" s="177" t="s">
        <v>177</v>
      </c>
      <c r="C21" s="177" t="s">
        <v>179</v>
      </c>
      <c r="D21" s="191" t="s">
        <v>178</v>
      </c>
      <c r="E21" s="165" t="s">
        <v>511</v>
      </c>
      <c r="F21" s="267"/>
    </row>
    <row r="22" spans="1:6" ht="15">
      <c r="A22" s="92" t="s">
        <v>498</v>
      </c>
      <c r="B22" s="270">
        <f>B23</f>
        <v>46171</v>
      </c>
      <c r="C22" s="165">
        <v>10</v>
      </c>
      <c r="D22" s="192">
        <f>B22+C22</f>
        <v>46181</v>
      </c>
      <c r="E22" s="86"/>
    </row>
    <row r="23" spans="1:6" ht="58.5">
      <c r="A23" s="181" t="s">
        <v>493</v>
      </c>
      <c r="B23" s="269">
        <v>46171</v>
      </c>
      <c r="C23" s="175"/>
      <c r="D23" s="194"/>
      <c r="E23" s="203"/>
    </row>
    <row r="24" spans="1:6">
      <c r="A24" s="162" t="s">
        <v>488</v>
      </c>
      <c r="B24" s="173"/>
      <c r="C24" s="85"/>
      <c r="D24" s="193"/>
      <c r="E24" s="86"/>
    </row>
    <row r="25" spans="1:6">
      <c r="A25" s="162" t="s">
        <v>489</v>
      </c>
      <c r="B25" s="173"/>
      <c r="C25" s="85"/>
      <c r="D25" s="193"/>
      <c r="E25" s="86"/>
    </row>
    <row r="26" spans="1:6">
      <c r="A26" s="162" t="s">
        <v>490</v>
      </c>
      <c r="B26" s="173"/>
      <c r="C26" s="85"/>
      <c r="D26" s="193"/>
      <c r="E26" s="86"/>
    </row>
    <row r="27" spans="1:6" ht="15" thickBot="1">
      <c r="A27" s="163" t="s">
        <v>491</v>
      </c>
      <c r="B27" s="180"/>
      <c r="C27" s="164"/>
      <c r="D27" s="196">
        <f>B22+C22</f>
        <v>46181</v>
      </c>
      <c r="E27" s="86"/>
    </row>
    <row r="28" spans="1:6" ht="15" thickBot="1"/>
    <row r="29" spans="1:6" ht="15">
      <c r="A29" s="176"/>
      <c r="B29" s="177" t="s">
        <v>177</v>
      </c>
      <c r="C29" s="177" t="s">
        <v>179</v>
      </c>
      <c r="D29" s="177" t="s">
        <v>178</v>
      </c>
      <c r="E29" s="199" t="s">
        <v>511</v>
      </c>
    </row>
    <row r="30" spans="1:6" ht="15">
      <c r="A30" s="92" t="s">
        <v>551</v>
      </c>
      <c r="B30" s="172">
        <f>B31</f>
        <v>45822</v>
      </c>
      <c r="C30" s="165"/>
      <c r="D30" s="172">
        <f>D36</f>
        <v>46276</v>
      </c>
      <c r="E30" s="126"/>
    </row>
    <row r="31" spans="1:6">
      <c r="A31" s="162" t="s">
        <v>552</v>
      </c>
      <c r="B31" s="273">
        <v>45822</v>
      </c>
      <c r="C31" s="85">
        <v>7</v>
      </c>
      <c r="D31" s="173">
        <f t="shared" ref="D31:D36" si="4">B31+C31</f>
        <v>45829</v>
      </c>
      <c r="E31" s="126"/>
    </row>
    <row r="32" spans="1:6">
      <c r="A32" s="162" t="s">
        <v>553</v>
      </c>
      <c r="B32" s="173">
        <f>D31</f>
        <v>45829</v>
      </c>
      <c r="C32" s="85">
        <v>7</v>
      </c>
      <c r="D32" s="173">
        <f t="shared" si="4"/>
        <v>45836</v>
      </c>
      <c r="E32" s="126"/>
    </row>
    <row r="33" spans="1:5">
      <c r="A33" s="162" t="s">
        <v>554</v>
      </c>
      <c r="B33" s="173">
        <f>D32</f>
        <v>45836</v>
      </c>
      <c r="C33" s="85">
        <v>15</v>
      </c>
      <c r="D33" s="173">
        <f t="shared" si="4"/>
        <v>45851</v>
      </c>
      <c r="E33" s="126"/>
    </row>
    <row r="34" spans="1:5">
      <c r="A34" s="162" t="s">
        <v>555</v>
      </c>
      <c r="B34" s="173">
        <f>D33</f>
        <v>45851</v>
      </c>
      <c r="C34" s="85">
        <v>22</v>
      </c>
      <c r="D34" s="173">
        <f t="shared" si="4"/>
        <v>45873</v>
      </c>
      <c r="E34" s="126"/>
    </row>
    <row r="35" spans="1:5">
      <c r="A35" s="162" t="s">
        <v>557</v>
      </c>
      <c r="B35" s="173">
        <v>46229</v>
      </c>
      <c r="C35" s="85">
        <v>15</v>
      </c>
      <c r="D35" s="173">
        <f t="shared" si="4"/>
        <v>46244</v>
      </c>
      <c r="E35" s="126"/>
    </row>
    <row r="36" spans="1:5" ht="15" thickBot="1">
      <c r="A36" s="163" t="s">
        <v>556</v>
      </c>
      <c r="B36" s="180">
        <f>D35</f>
        <v>46244</v>
      </c>
      <c r="C36" s="164">
        <v>32</v>
      </c>
      <c r="D36" s="274">
        <f t="shared" si="4"/>
        <v>46276</v>
      </c>
      <c r="E36" s="128"/>
    </row>
    <row r="37" spans="1:5" ht="61.5" customHeight="1" thickBot="1"/>
    <row r="38" spans="1:5" ht="15">
      <c r="A38" s="176"/>
      <c r="B38" s="177" t="s">
        <v>177</v>
      </c>
      <c r="C38" s="177" t="s">
        <v>179</v>
      </c>
      <c r="D38" s="191" t="s">
        <v>178</v>
      </c>
      <c r="E38" s="165" t="s">
        <v>512</v>
      </c>
    </row>
    <row r="39" spans="1:5" ht="15">
      <c r="A39" s="92" t="s">
        <v>548</v>
      </c>
      <c r="B39" s="172">
        <f>B40</f>
        <v>46236</v>
      </c>
      <c r="C39" s="165">
        <f>C40</f>
        <v>90</v>
      </c>
      <c r="D39" s="192">
        <f>D40</f>
        <v>46326</v>
      </c>
      <c r="E39" s="86"/>
    </row>
    <row r="40" spans="1:5" ht="15" thickBot="1">
      <c r="A40" s="163" t="s">
        <v>494</v>
      </c>
      <c r="B40" s="190">
        <f>D19</f>
        <v>46236</v>
      </c>
      <c r="C40" s="164">
        <v>90</v>
      </c>
      <c r="D40" s="275">
        <f>B40+C40</f>
        <v>46326</v>
      </c>
      <c r="E40" s="86">
        <f>B40-DATE(2025,10,1)</f>
        <v>305</v>
      </c>
    </row>
    <row r="42" spans="1:5" ht="15" thickBot="1"/>
    <row r="43" spans="1:5" ht="15">
      <c r="A43" s="176"/>
      <c r="B43" s="177" t="s">
        <v>177</v>
      </c>
      <c r="C43" s="177" t="s">
        <v>179</v>
      </c>
      <c r="D43" s="191" t="s">
        <v>178</v>
      </c>
      <c r="E43" s="165" t="s">
        <v>513</v>
      </c>
    </row>
    <row r="44" spans="1:5" ht="15">
      <c r="A44" s="92" t="s">
        <v>549</v>
      </c>
      <c r="B44" s="172">
        <f>B45</f>
        <v>46203</v>
      </c>
      <c r="C44" s="165"/>
      <c r="D44" s="192">
        <f>D46</f>
        <v>46333</v>
      </c>
      <c r="E44" s="86">
        <f>B44-DATE(2025,10,1)</f>
        <v>272</v>
      </c>
    </row>
    <row r="45" spans="1:5">
      <c r="A45" s="162" t="s">
        <v>495</v>
      </c>
      <c r="B45" s="182">
        <v>46203</v>
      </c>
      <c r="C45" s="85">
        <v>120</v>
      </c>
      <c r="D45" s="193">
        <f>B45+C45</f>
        <v>46323</v>
      </c>
      <c r="E45" s="86">
        <f>B45-DATE(2025,10,1)</f>
        <v>272</v>
      </c>
    </row>
    <row r="46" spans="1:5" ht="15" thickBot="1">
      <c r="A46" s="163" t="s">
        <v>497</v>
      </c>
      <c r="B46" s="180">
        <f>D45</f>
        <v>46323</v>
      </c>
      <c r="C46" s="164">
        <v>10</v>
      </c>
      <c r="D46" s="196">
        <f>B46+C46</f>
        <v>46333</v>
      </c>
      <c r="E46" s="86">
        <f>B46-DATE(2025,10,1)</f>
        <v>392</v>
      </c>
    </row>
    <row r="48" spans="1:5" ht="15" thickBot="1"/>
    <row r="49" spans="1:9" ht="15">
      <c r="A49" s="176"/>
      <c r="B49" s="177" t="s">
        <v>177</v>
      </c>
      <c r="C49" s="177" t="s">
        <v>179</v>
      </c>
      <c r="D49" s="177" t="s">
        <v>178</v>
      </c>
      <c r="E49" s="199" t="s">
        <v>513</v>
      </c>
    </row>
    <row r="50" spans="1:9" ht="15">
      <c r="A50" s="92" t="s">
        <v>550</v>
      </c>
      <c r="B50" s="172">
        <f>B51</f>
        <v>46276</v>
      </c>
      <c r="C50" s="165">
        <f>SUM(C51:C60)</f>
        <v>111</v>
      </c>
      <c r="D50" s="172">
        <f>B63</f>
        <v>46342</v>
      </c>
      <c r="E50" s="126"/>
    </row>
    <row r="51" spans="1:9">
      <c r="A51" s="162" t="s">
        <v>499</v>
      </c>
      <c r="B51" s="272">
        <v>46276</v>
      </c>
      <c r="C51" s="85">
        <v>5</v>
      </c>
      <c r="D51" s="173">
        <f t="shared" ref="D51:D60" si="5">B51+C51</f>
        <v>46281</v>
      </c>
      <c r="E51" s="126">
        <f t="shared" ref="E51:E61" si="6">B51-DATE(2025,10,1)</f>
        <v>345</v>
      </c>
    </row>
    <row r="52" spans="1:9">
      <c r="A52" s="162" t="s">
        <v>500</v>
      </c>
      <c r="B52" s="173">
        <f>D51</f>
        <v>46281</v>
      </c>
      <c r="C52" s="85">
        <v>5</v>
      </c>
      <c r="D52" s="173">
        <f t="shared" si="5"/>
        <v>46286</v>
      </c>
      <c r="E52" s="126">
        <f t="shared" si="6"/>
        <v>350</v>
      </c>
    </row>
    <row r="53" spans="1:9">
      <c r="A53" s="162" t="s">
        <v>501</v>
      </c>
      <c r="B53" s="173">
        <f>D52</f>
        <v>46286</v>
      </c>
      <c r="C53" s="85">
        <v>15</v>
      </c>
      <c r="D53" s="173">
        <f t="shared" si="5"/>
        <v>46301</v>
      </c>
      <c r="E53" s="126">
        <f t="shared" si="6"/>
        <v>355</v>
      </c>
    </row>
    <row r="54" spans="1:9">
      <c r="A54" s="162" t="s">
        <v>502</v>
      </c>
      <c r="B54" s="173">
        <f>D53</f>
        <v>46301</v>
      </c>
      <c r="C54" s="85">
        <v>10</v>
      </c>
      <c r="D54" s="173">
        <f t="shared" si="5"/>
        <v>46311</v>
      </c>
      <c r="E54" s="126">
        <f t="shared" si="6"/>
        <v>370</v>
      </c>
    </row>
    <row r="55" spans="1:9">
      <c r="A55" s="162" t="s">
        <v>503</v>
      </c>
      <c r="B55" s="173">
        <f>B52</f>
        <v>46281</v>
      </c>
      <c r="C55" s="85">
        <v>15</v>
      </c>
      <c r="D55" s="173">
        <f t="shared" si="5"/>
        <v>46296</v>
      </c>
      <c r="E55" s="126">
        <f t="shared" si="6"/>
        <v>350</v>
      </c>
    </row>
    <row r="56" spans="1:9">
      <c r="A56" s="162" t="s">
        <v>504</v>
      </c>
      <c r="B56" s="173">
        <f>D55</f>
        <v>46296</v>
      </c>
      <c r="C56" s="85">
        <v>5</v>
      </c>
      <c r="D56" s="173">
        <f t="shared" si="5"/>
        <v>46301</v>
      </c>
      <c r="E56" s="126">
        <f t="shared" si="6"/>
        <v>365</v>
      </c>
    </row>
    <row r="57" spans="1:9">
      <c r="A57" s="162" t="s">
        <v>505</v>
      </c>
      <c r="B57" s="173">
        <f>D56</f>
        <v>46301</v>
      </c>
      <c r="C57" s="85">
        <v>15</v>
      </c>
      <c r="D57" s="173">
        <f t="shared" si="5"/>
        <v>46316</v>
      </c>
      <c r="E57" s="126">
        <f t="shared" si="6"/>
        <v>370</v>
      </c>
    </row>
    <row r="58" spans="1:9" ht="28.5">
      <c r="A58" s="181" t="s">
        <v>507</v>
      </c>
      <c r="B58" s="174">
        <v>46296</v>
      </c>
      <c r="C58" s="175">
        <v>20</v>
      </c>
      <c r="D58" s="174">
        <f t="shared" si="5"/>
        <v>46316</v>
      </c>
      <c r="E58" s="126">
        <f t="shared" si="6"/>
        <v>365</v>
      </c>
    </row>
    <row r="59" spans="1:9" ht="45.75" customHeight="1">
      <c r="A59" s="201" t="s">
        <v>506</v>
      </c>
      <c r="B59" s="174">
        <f>D57</f>
        <v>46316</v>
      </c>
      <c r="C59" s="175">
        <v>19</v>
      </c>
      <c r="D59" s="174">
        <f t="shared" si="5"/>
        <v>46335</v>
      </c>
      <c r="E59" s="202">
        <f t="shared" si="6"/>
        <v>385</v>
      </c>
    </row>
    <row r="60" spans="1:9" ht="15">
      <c r="A60" s="162" t="s">
        <v>508</v>
      </c>
      <c r="B60" s="173">
        <f>D59</f>
        <v>46335</v>
      </c>
      <c r="C60" s="85">
        <v>2</v>
      </c>
      <c r="D60" s="173">
        <f t="shared" si="5"/>
        <v>46337</v>
      </c>
      <c r="E60" s="126">
        <f t="shared" si="6"/>
        <v>404</v>
      </c>
      <c r="G60" s="141"/>
      <c r="H60" s="141"/>
      <c r="I60" s="141"/>
    </row>
    <row r="61" spans="1:9" ht="15">
      <c r="A61" s="92" t="s">
        <v>509</v>
      </c>
      <c r="B61" s="172">
        <f>D60</f>
        <v>46337</v>
      </c>
      <c r="C61" s="85"/>
      <c r="D61" s="85"/>
      <c r="E61" s="126">
        <f t="shared" si="6"/>
        <v>406</v>
      </c>
      <c r="F61" s="141"/>
      <c r="G61" s="29"/>
    </row>
    <row r="62" spans="1:9">
      <c r="A62" s="162"/>
      <c r="B62" s="85"/>
      <c r="C62" s="85"/>
      <c r="D62" s="85"/>
      <c r="E62" s="126"/>
      <c r="F62" s="28"/>
    </row>
    <row r="63" spans="1:9" ht="15.75" thickBot="1">
      <c r="A63" s="94" t="s">
        <v>510</v>
      </c>
      <c r="B63" s="200">
        <v>46342</v>
      </c>
      <c r="C63" s="164"/>
      <c r="D63" s="164"/>
      <c r="E63" s="128">
        <f>B63-DATE(2025,10,1)</f>
        <v>411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4A87-2F50-4D53-9131-5A91207C8E46}">
  <dimension ref="A28:V55"/>
  <sheetViews>
    <sheetView topLeftCell="I1" workbookViewId="0">
      <selection activeCell="P31" sqref="P31:V33"/>
    </sheetView>
  </sheetViews>
  <sheetFormatPr defaultRowHeight="14.25"/>
  <sheetData>
    <row r="28" spans="1:22" ht="15">
      <c r="A28" s="531" t="s">
        <v>335</v>
      </c>
      <c r="B28" s="534"/>
      <c r="C28" s="534"/>
      <c r="D28" s="534"/>
      <c r="E28" s="109" t="s">
        <v>363</v>
      </c>
      <c r="F28" s="531" t="s">
        <v>351</v>
      </c>
      <c r="G28" s="531"/>
      <c r="H28" s="531"/>
      <c r="I28" s="531"/>
      <c r="J28" s="531"/>
      <c r="K28" s="531"/>
      <c r="L28" s="531"/>
      <c r="M28" s="531"/>
      <c r="N28" s="531"/>
      <c r="O28" s="109" t="s">
        <v>363</v>
      </c>
      <c r="P28" s="531" t="s">
        <v>359</v>
      </c>
      <c r="Q28" s="531"/>
      <c r="R28" s="531"/>
      <c r="S28" s="531"/>
      <c r="T28" s="531"/>
      <c r="U28" s="531"/>
      <c r="V28" s="531"/>
    </row>
    <row r="29" spans="1:22" ht="15" customHeight="1">
      <c r="A29" s="108" t="s">
        <v>336</v>
      </c>
      <c r="B29" s="108" t="s">
        <v>337</v>
      </c>
      <c r="C29" s="108" t="s">
        <v>338</v>
      </c>
      <c r="D29" s="108" t="s">
        <v>339</v>
      </c>
      <c r="F29" s="533" t="s">
        <v>352</v>
      </c>
      <c r="G29" s="533"/>
      <c r="H29" s="529" t="s">
        <v>353</v>
      </c>
      <c r="I29" s="529"/>
      <c r="J29" s="529"/>
      <c r="K29" s="529"/>
      <c r="L29" s="529"/>
      <c r="M29" s="529"/>
      <c r="N29" s="529"/>
      <c r="P29" s="387" t="s">
        <v>360</v>
      </c>
      <c r="Q29" s="387"/>
      <c r="R29" s="387"/>
      <c r="S29" s="387"/>
      <c r="T29" s="387"/>
      <c r="U29" s="387"/>
      <c r="V29" s="387"/>
    </row>
    <row r="30" spans="1:22" ht="15">
      <c r="A30" s="108" t="s">
        <v>343</v>
      </c>
      <c r="B30" s="86">
        <v>29</v>
      </c>
      <c r="C30" s="86">
        <v>29</v>
      </c>
      <c r="D30" s="86">
        <v>29</v>
      </c>
      <c r="F30" s="533"/>
      <c r="G30" s="533"/>
      <c r="H30" s="529"/>
      <c r="I30" s="529"/>
      <c r="J30" s="529"/>
      <c r="K30" s="529"/>
      <c r="L30" s="529"/>
      <c r="M30" s="529"/>
      <c r="N30" s="529"/>
      <c r="P30" s="387" t="s">
        <v>361</v>
      </c>
      <c r="Q30" s="387"/>
      <c r="R30" s="387"/>
      <c r="S30" s="387"/>
      <c r="T30" s="387"/>
      <c r="U30" s="387"/>
      <c r="V30" s="387"/>
    </row>
    <row r="31" spans="1:22" ht="15" customHeight="1">
      <c r="A31" s="108" t="s">
        <v>340</v>
      </c>
      <c r="B31" s="86">
        <v>61.86</v>
      </c>
      <c r="C31" s="86">
        <v>5.55</v>
      </c>
      <c r="D31" s="86">
        <v>2.62</v>
      </c>
      <c r="F31" s="533" t="s">
        <v>354</v>
      </c>
      <c r="G31" s="533"/>
      <c r="H31" s="529" t="s">
        <v>355</v>
      </c>
      <c r="I31" s="529"/>
      <c r="J31" s="529"/>
      <c r="K31" s="529"/>
      <c r="L31" s="529"/>
      <c r="M31" s="529"/>
      <c r="N31" s="529"/>
      <c r="P31" s="529" t="s">
        <v>362</v>
      </c>
      <c r="Q31" s="529"/>
      <c r="R31" s="529"/>
      <c r="S31" s="529"/>
      <c r="T31" s="529"/>
      <c r="U31" s="529"/>
      <c r="V31" s="529"/>
    </row>
    <row r="32" spans="1:22" ht="15">
      <c r="A32" s="108" t="s">
        <v>341</v>
      </c>
      <c r="B32" s="86">
        <v>50</v>
      </c>
      <c r="C32" s="86">
        <v>5</v>
      </c>
      <c r="D32" s="86">
        <v>2</v>
      </c>
      <c r="F32" s="533"/>
      <c r="G32" s="533"/>
      <c r="H32" s="529"/>
      <c r="I32" s="529"/>
      <c r="J32" s="529"/>
      <c r="K32" s="529"/>
      <c r="L32" s="529"/>
      <c r="M32" s="529"/>
      <c r="N32" s="529"/>
      <c r="P32" s="529"/>
      <c r="Q32" s="529"/>
      <c r="R32" s="529"/>
      <c r="S32" s="529"/>
      <c r="T32" s="529"/>
      <c r="U32" s="529"/>
      <c r="V32" s="529"/>
    </row>
    <row r="33" spans="1:22" ht="15" customHeight="1">
      <c r="A33" s="108" t="s">
        <v>342</v>
      </c>
      <c r="B33" s="86">
        <v>8</v>
      </c>
      <c r="C33" s="86">
        <v>5</v>
      </c>
      <c r="D33" s="86">
        <v>2</v>
      </c>
      <c r="F33" s="533" t="s">
        <v>386</v>
      </c>
      <c r="G33" s="533"/>
      <c r="H33" s="529" t="s">
        <v>356</v>
      </c>
      <c r="I33" s="529"/>
      <c r="J33" s="529"/>
      <c r="K33" s="529"/>
      <c r="L33" s="529"/>
      <c r="M33" s="529"/>
      <c r="N33" s="529"/>
      <c r="P33" s="529"/>
      <c r="Q33" s="529"/>
      <c r="R33" s="529"/>
      <c r="S33" s="529"/>
      <c r="T33" s="529"/>
      <c r="U33" s="529"/>
      <c r="V33" s="529"/>
    </row>
    <row r="34" spans="1:22" ht="15">
      <c r="A34" s="108" t="s">
        <v>344</v>
      </c>
      <c r="B34" s="86">
        <v>54.56</v>
      </c>
      <c r="C34" s="86">
        <v>2.9</v>
      </c>
      <c r="D34" s="86">
        <v>2.3199999999999998</v>
      </c>
      <c r="F34" s="533"/>
      <c r="G34" s="533"/>
      <c r="H34" s="529"/>
      <c r="I34" s="529"/>
      <c r="J34" s="529"/>
      <c r="K34" s="529"/>
      <c r="L34" s="529"/>
      <c r="M34" s="529"/>
      <c r="N34" s="529"/>
    </row>
    <row r="35" spans="1:22" ht="15">
      <c r="A35" s="108" t="s">
        <v>345</v>
      </c>
      <c r="B35" s="86">
        <v>1</v>
      </c>
      <c r="C35" s="86">
        <v>1</v>
      </c>
      <c r="D35" s="86">
        <v>1</v>
      </c>
      <c r="F35" s="533"/>
      <c r="G35" s="533"/>
      <c r="H35" s="529"/>
      <c r="I35" s="529"/>
      <c r="J35" s="529"/>
      <c r="K35" s="529"/>
      <c r="L35" s="529"/>
      <c r="M35" s="529"/>
      <c r="N35" s="529"/>
    </row>
    <row r="36" spans="1:22" ht="15">
      <c r="A36" s="108" t="s">
        <v>346</v>
      </c>
      <c r="B36" s="86">
        <v>200</v>
      </c>
      <c r="C36" s="86">
        <v>15</v>
      </c>
      <c r="D36" s="86">
        <v>12</v>
      </c>
      <c r="F36" s="533" t="s">
        <v>357</v>
      </c>
      <c r="G36" s="533"/>
      <c r="H36" s="529" t="s">
        <v>358</v>
      </c>
      <c r="I36" s="529"/>
      <c r="J36" s="529"/>
      <c r="K36" s="529"/>
      <c r="L36" s="529"/>
      <c r="M36" s="529"/>
      <c r="N36" s="529"/>
    </row>
    <row r="37" spans="1:22" ht="15">
      <c r="A37" s="108" t="s">
        <v>388</v>
      </c>
      <c r="B37" s="86">
        <v>15</v>
      </c>
      <c r="C37" s="86">
        <v>4</v>
      </c>
      <c r="D37" s="86">
        <v>1</v>
      </c>
      <c r="F37" s="533"/>
      <c r="G37" s="533"/>
      <c r="H37" s="529"/>
      <c r="I37" s="529"/>
      <c r="J37" s="529"/>
      <c r="K37" s="529"/>
      <c r="L37" s="529"/>
      <c r="M37" s="529"/>
      <c r="N37" s="529"/>
    </row>
    <row r="38" spans="1:22" ht="15">
      <c r="A38" s="108" t="s">
        <v>389</v>
      </c>
      <c r="B38" s="86">
        <v>85</v>
      </c>
      <c r="C38" s="86">
        <v>7</v>
      </c>
      <c r="D38" s="86">
        <v>3</v>
      </c>
    </row>
    <row r="39" spans="1:22" ht="15">
      <c r="A39" s="108" t="s">
        <v>347</v>
      </c>
      <c r="B39" s="86" t="s">
        <v>348</v>
      </c>
      <c r="C39" s="86" t="s">
        <v>349</v>
      </c>
      <c r="D39" s="86" t="s">
        <v>350</v>
      </c>
    </row>
    <row r="42" spans="1:22" ht="15">
      <c r="A42" s="531" t="s">
        <v>364</v>
      </c>
      <c r="B42" s="531"/>
      <c r="C42" s="531"/>
      <c r="D42" s="531"/>
      <c r="E42" s="531"/>
      <c r="F42" s="531"/>
      <c r="G42" s="531"/>
      <c r="H42" s="531"/>
    </row>
    <row r="43" spans="1:22" ht="15">
      <c r="A43" s="532" t="s">
        <v>367</v>
      </c>
      <c r="B43" s="532"/>
      <c r="C43" s="532" t="s">
        <v>368</v>
      </c>
      <c r="D43" s="532"/>
      <c r="E43" s="532" t="s">
        <v>365</v>
      </c>
      <c r="F43" s="532"/>
      <c r="G43" s="532" t="s">
        <v>366</v>
      </c>
      <c r="H43" s="532"/>
    </row>
    <row r="44" spans="1:22" ht="14.25" customHeight="1">
      <c r="A44" s="530" t="s">
        <v>224</v>
      </c>
      <c r="B44" s="530"/>
      <c r="C44" s="528" t="s">
        <v>369</v>
      </c>
      <c r="D44" s="528"/>
      <c r="E44" s="528" t="s">
        <v>373</v>
      </c>
      <c r="F44" s="528"/>
      <c r="G44" s="529" t="s">
        <v>377</v>
      </c>
      <c r="H44" s="529"/>
    </row>
    <row r="45" spans="1:22" ht="14.25" customHeight="1">
      <c r="A45" s="530"/>
      <c r="B45" s="530"/>
      <c r="C45" s="528"/>
      <c r="D45" s="528"/>
      <c r="E45" s="528"/>
      <c r="F45" s="528"/>
      <c r="G45" s="529"/>
      <c r="H45" s="529"/>
    </row>
    <row r="46" spans="1:22">
      <c r="A46" s="530"/>
      <c r="B46" s="530"/>
      <c r="C46" s="528"/>
      <c r="D46" s="528"/>
      <c r="E46" s="528"/>
      <c r="F46" s="528"/>
      <c r="G46" s="529"/>
      <c r="H46" s="529"/>
    </row>
    <row r="47" spans="1:22" ht="14.25" customHeight="1">
      <c r="A47" s="530" t="s">
        <v>229</v>
      </c>
      <c r="B47" s="530"/>
      <c r="C47" s="528" t="s">
        <v>370</v>
      </c>
      <c r="D47" s="528"/>
      <c r="E47" s="528" t="s">
        <v>374</v>
      </c>
      <c r="F47" s="528"/>
      <c r="G47" s="529" t="s">
        <v>378</v>
      </c>
      <c r="H47" s="529"/>
    </row>
    <row r="48" spans="1:22" ht="14.25" customHeight="1">
      <c r="A48" s="530"/>
      <c r="B48" s="530"/>
      <c r="C48" s="528"/>
      <c r="D48" s="528"/>
      <c r="E48" s="528"/>
      <c r="F48" s="528"/>
      <c r="G48" s="529"/>
      <c r="H48" s="529"/>
    </row>
    <row r="49" spans="1:8" ht="14.25" customHeight="1">
      <c r="A49" s="530"/>
      <c r="B49" s="530"/>
      <c r="C49" s="528"/>
      <c r="D49" s="528"/>
      <c r="E49" s="528"/>
      <c r="F49" s="528"/>
      <c r="G49" s="529"/>
      <c r="H49" s="529"/>
    </row>
    <row r="50" spans="1:8">
      <c r="A50" s="530" t="s">
        <v>222</v>
      </c>
      <c r="B50" s="530"/>
      <c r="C50" s="528" t="s">
        <v>371</v>
      </c>
      <c r="D50" s="528"/>
      <c r="E50" s="529" t="s">
        <v>375</v>
      </c>
      <c r="F50" s="529"/>
      <c r="G50" s="528" t="s">
        <v>379</v>
      </c>
      <c r="H50" s="528"/>
    </row>
    <row r="51" spans="1:8">
      <c r="A51" s="530"/>
      <c r="B51" s="530"/>
      <c r="C51" s="528"/>
      <c r="D51" s="528"/>
      <c r="E51" s="529"/>
      <c r="F51" s="529"/>
      <c r="G51" s="528"/>
      <c r="H51" s="528"/>
    </row>
    <row r="52" spans="1:8">
      <c r="A52" s="530"/>
      <c r="B52" s="530"/>
      <c r="C52" s="528"/>
      <c r="D52" s="528"/>
      <c r="E52" s="529"/>
      <c r="F52" s="529"/>
      <c r="G52" s="528"/>
      <c r="H52" s="528"/>
    </row>
    <row r="53" spans="1:8">
      <c r="A53" s="530"/>
      <c r="B53" s="530"/>
      <c r="C53" s="528"/>
      <c r="D53" s="528"/>
      <c r="E53" s="529"/>
      <c r="F53" s="529"/>
      <c r="G53" s="528"/>
      <c r="H53" s="528"/>
    </row>
    <row r="54" spans="1:8">
      <c r="A54" s="530" t="s">
        <v>221</v>
      </c>
      <c r="B54" s="530"/>
      <c r="C54" s="528" t="s">
        <v>372</v>
      </c>
      <c r="D54" s="528"/>
      <c r="E54" s="529" t="s">
        <v>376</v>
      </c>
      <c r="F54" s="529"/>
      <c r="G54" s="529" t="s">
        <v>380</v>
      </c>
      <c r="H54" s="529"/>
    </row>
    <row r="55" spans="1:8">
      <c r="A55" s="530"/>
      <c r="B55" s="530"/>
      <c r="C55" s="528"/>
      <c r="D55" s="528"/>
      <c r="E55" s="529"/>
      <c r="F55" s="529"/>
      <c r="G55" s="529"/>
      <c r="H55" s="529"/>
    </row>
  </sheetData>
  <mergeCells count="35">
    <mergeCell ref="F36:G37"/>
    <mergeCell ref="H36:N37"/>
    <mergeCell ref="F28:N28"/>
    <mergeCell ref="A28:D28"/>
    <mergeCell ref="F29:G30"/>
    <mergeCell ref="F31:G32"/>
    <mergeCell ref="H29:N30"/>
    <mergeCell ref="H31:N32"/>
    <mergeCell ref="P28:V28"/>
    <mergeCell ref="P29:V29"/>
    <mergeCell ref="P30:V30"/>
    <mergeCell ref="P31:V33"/>
    <mergeCell ref="F33:G35"/>
    <mergeCell ref="H33:N35"/>
    <mergeCell ref="A54:B55"/>
    <mergeCell ref="A42:H42"/>
    <mergeCell ref="A43:B43"/>
    <mergeCell ref="C43:D43"/>
    <mergeCell ref="E43:F43"/>
    <mergeCell ref="G43:H43"/>
    <mergeCell ref="A44:B46"/>
    <mergeCell ref="C44:D46"/>
    <mergeCell ref="E44:F46"/>
    <mergeCell ref="G44:H46"/>
    <mergeCell ref="A50:B53"/>
    <mergeCell ref="C50:D53"/>
    <mergeCell ref="E50:F53"/>
    <mergeCell ref="G50:H53"/>
    <mergeCell ref="A47:B49"/>
    <mergeCell ref="C47:D49"/>
    <mergeCell ref="E47:F49"/>
    <mergeCell ref="G47:H49"/>
    <mergeCell ref="C54:D55"/>
    <mergeCell ref="E54:F55"/>
    <mergeCell ref="G54:H55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493A-483F-4C3C-8B45-C3E2B567DDEF}">
  <dimension ref="A1:D9"/>
  <sheetViews>
    <sheetView workbookViewId="0">
      <selection activeCell="D11" sqref="D11"/>
    </sheetView>
  </sheetViews>
  <sheetFormatPr defaultRowHeight="14.25"/>
  <cols>
    <col min="1" max="1" width="52.125" customWidth="1"/>
    <col min="2" max="2" width="13.125" customWidth="1"/>
    <col min="3" max="3" width="17.625" customWidth="1"/>
    <col min="4" max="4" width="70.75" customWidth="1"/>
    <col min="5" max="5" width="13.5" customWidth="1"/>
  </cols>
  <sheetData>
    <row r="1" spans="1:4" ht="15">
      <c r="A1" s="276" t="s">
        <v>558</v>
      </c>
      <c r="B1" s="213" t="s">
        <v>559</v>
      </c>
      <c r="C1" s="277"/>
      <c r="D1" s="90"/>
    </row>
    <row r="2" spans="1:4">
      <c r="A2" s="125" t="s">
        <v>569</v>
      </c>
      <c r="B2" s="175" t="s">
        <v>560</v>
      </c>
      <c r="C2" s="278"/>
    </row>
    <row r="3" spans="1:4">
      <c r="A3" s="125" t="s">
        <v>566</v>
      </c>
      <c r="B3" s="175" t="s">
        <v>561</v>
      </c>
      <c r="C3" s="279">
        <f>IF(C4&gt;=110,50,IF(C4&gt;=71,55,IF(C4&gt;=41,60,IF(C4&gt;=15,65,0))))</f>
        <v>0</v>
      </c>
      <c r="D3" t="s">
        <v>573</v>
      </c>
    </row>
    <row r="4" spans="1:4">
      <c r="A4" s="125" t="s">
        <v>567</v>
      </c>
      <c r="B4" s="175" t="s">
        <v>562</v>
      </c>
      <c r="C4" s="280"/>
    </row>
    <row r="5" spans="1:4">
      <c r="A5" s="125" t="s">
        <v>570</v>
      </c>
      <c r="B5" s="175" t="s">
        <v>563</v>
      </c>
      <c r="C5" s="281">
        <f>C6*(C2+C3)</f>
        <v>0</v>
      </c>
    </row>
    <row r="6" spans="1:4">
      <c r="A6" s="125" t="s">
        <v>571</v>
      </c>
      <c r="B6" s="175" t="s">
        <v>564</v>
      </c>
      <c r="C6" s="278"/>
    </row>
    <row r="7" spans="1:4">
      <c r="A7" s="125" t="s">
        <v>568</v>
      </c>
      <c r="B7" s="175" t="s">
        <v>565</v>
      </c>
      <c r="C7" s="279">
        <f>C6*C3</f>
        <v>0</v>
      </c>
    </row>
    <row r="8" spans="1:4" ht="15" thickBot="1">
      <c r="A8" s="127" t="s">
        <v>572</v>
      </c>
      <c r="B8" s="95"/>
      <c r="C8" s="282">
        <f>C5-C7</f>
        <v>0</v>
      </c>
    </row>
    <row r="9" spans="1:4">
      <c r="C9" s="28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F866-D84A-4595-BF18-E731750824C0}">
  <dimension ref="A1:Q20"/>
  <sheetViews>
    <sheetView topLeftCell="D3" workbookViewId="0">
      <selection activeCell="E2" sqref="E2"/>
    </sheetView>
  </sheetViews>
  <sheetFormatPr defaultRowHeight="14.25"/>
  <cols>
    <col min="1" max="1" width="24.375" bestFit="1" customWidth="1"/>
    <col min="2" max="5" width="20.75" customWidth="1"/>
    <col min="11" max="11" width="9.625" bestFit="1" customWidth="1"/>
    <col min="13" max="14" width="10.625" bestFit="1" customWidth="1"/>
    <col min="16" max="16" width="11.625" bestFit="1" customWidth="1"/>
    <col min="17" max="17" width="10.625" bestFit="1" customWidth="1"/>
  </cols>
  <sheetData>
    <row r="1" spans="1:17" ht="15.75" thickBot="1">
      <c r="A1" s="110" t="s">
        <v>225</v>
      </c>
      <c r="B1" s="111" t="s">
        <v>221</v>
      </c>
      <c r="C1" s="111" t="s">
        <v>222</v>
      </c>
      <c r="D1" s="111" t="s">
        <v>223</v>
      </c>
      <c r="E1" s="112" t="s">
        <v>224</v>
      </c>
    </row>
    <row r="2" spans="1:17" ht="16.5" thickTop="1" thickBot="1">
      <c r="A2" s="113" t="s">
        <v>385</v>
      </c>
      <c r="B2" s="75" t="s">
        <v>383</v>
      </c>
      <c r="C2" s="75" t="s">
        <v>382</v>
      </c>
      <c r="D2" s="75" t="s">
        <v>381</v>
      </c>
      <c r="E2" s="75" t="s">
        <v>597</v>
      </c>
      <c r="F2" s="35"/>
    </row>
    <row r="3" spans="1:17" ht="15.75" thickBot="1">
      <c r="A3" s="114" t="s">
        <v>218</v>
      </c>
      <c r="B3" s="74">
        <v>50</v>
      </c>
      <c r="C3" s="107">
        <v>55</v>
      </c>
      <c r="D3" s="74">
        <v>60</v>
      </c>
      <c r="E3" s="115">
        <v>65</v>
      </c>
      <c r="H3" s="411" t="s">
        <v>293</v>
      </c>
      <c r="I3" s="412"/>
      <c r="J3" s="412"/>
      <c r="K3" s="412"/>
      <c r="L3" s="412"/>
      <c r="M3" s="412"/>
      <c r="N3" s="412"/>
      <c r="O3" s="412"/>
      <c r="P3" s="412"/>
      <c r="Q3" s="535"/>
    </row>
    <row r="4" spans="1:17" ht="15">
      <c r="A4" s="114" t="s">
        <v>234</v>
      </c>
      <c r="B4" s="143" t="s">
        <v>241</v>
      </c>
      <c r="C4" s="143" t="s">
        <v>241</v>
      </c>
      <c r="D4" s="143" t="s">
        <v>241</v>
      </c>
      <c r="E4" s="144" t="s">
        <v>241</v>
      </c>
      <c r="H4" s="96"/>
      <c r="I4" s="97" t="s">
        <v>294</v>
      </c>
      <c r="J4" s="97" t="s">
        <v>301</v>
      </c>
      <c r="K4" s="97" t="s">
        <v>295</v>
      </c>
      <c r="L4" s="97" t="s">
        <v>296</v>
      </c>
      <c r="M4" s="97" t="s">
        <v>300</v>
      </c>
      <c r="N4" s="97" t="s">
        <v>292</v>
      </c>
      <c r="O4" s="97" t="s">
        <v>297</v>
      </c>
      <c r="P4" s="97" t="s">
        <v>298</v>
      </c>
      <c r="Q4" s="98" t="s">
        <v>299</v>
      </c>
    </row>
    <row r="5" spans="1:17" ht="15">
      <c r="A5" s="114" t="s">
        <v>244</v>
      </c>
      <c r="B5" s="143" t="s">
        <v>241</v>
      </c>
      <c r="C5" s="143" t="s">
        <v>241</v>
      </c>
      <c r="D5" s="143" t="s">
        <v>241</v>
      </c>
      <c r="E5" s="144" t="s">
        <v>241</v>
      </c>
      <c r="H5" s="92" t="s">
        <v>224</v>
      </c>
      <c r="I5" s="86">
        <v>17</v>
      </c>
      <c r="J5" s="86">
        <v>20</v>
      </c>
      <c r="K5" s="86">
        <f>I5*J5</f>
        <v>340</v>
      </c>
      <c r="L5" s="103">
        <v>8</v>
      </c>
      <c r="M5" s="104">
        <f>K5*L5</f>
        <v>2720</v>
      </c>
      <c r="N5" s="91">
        <v>0.12</v>
      </c>
      <c r="O5" s="86">
        <f>M5*N5</f>
        <v>326.39999999999998</v>
      </c>
      <c r="P5" s="101">
        <v>60</v>
      </c>
      <c r="Q5" s="93">
        <f>P5*O5</f>
        <v>19584</v>
      </c>
    </row>
    <row r="6" spans="1:17" ht="15">
      <c r="A6" s="114" t="s">
        <v>236</v>
      </c>
      <c r="B6" s="143" t="s">
        <v>241</v>
      </c>
      <c r="C6" s="143" t="s">
        <v>241</v>
      </c>
      <c r="D6" s="143" t="s">
        <v>241</v>
      </c>
      <c r="E6" s="144" t="s">
        <v>241</v>
      </c>
      <c r="H6" s="92" t="s">
        <v>229</v>
      </c>
      <c r="I6" s="86">
        <v>17</v>
      </c>
      <c r="J6" s="99">
        <v>20</v>
      </c>
      <c r="K6" s="99">
        <f>I6*J6</f>
        <v>340</v>
      </c>
      <c r="L6" s="99">
        <v>8</v>
      </c>
      <c r="M6" s="86">
        <f>K6*L6</f>
        <v>2720</v>
      </c>
      <c r="N6" s="91">
        <v>0.12</v>
      </c>
      <c r="O6" s="86">
        <f>M6*N6</f>
        <v>326.39999999999998</v>
      </c>
      <c r="P6" s="100">
        <v>50</v>
      </c>
      <c r="Q6" s="102">
        <f>O6*P6</f>
        <v>16319.999999999998</v>
      </c>
    </row>
    <row r="7" spans="1:17" ht="15">
      <c r="A7" s="114" t="s">
        <v>237</v>
      </c>
      <c r="B7" s="143" t="s">
        <v>241</v>
      </c>
      <c r="C7" s="143" t="s">
        <v>241</v>
      </c>
      <c r="D7" s="143" t="s">
        <v>241</v>
      </c>
      <c r="E7" s="144" t="s">
        <v>241</v>
      </c>
      <c r="H7" s="92" t="s">
        <v>222</v>
      </c>
      <c r="I7" s="86">
        <v>17</v>
      </c>
      <c r="J7" s="86">
        <v>20</v>
      </c>
      <c r="K7" s="86">
        <f>I7*J7</f>
        <v>340</v>
      </c>
      <c r="L7" s="86">
        <v>8</v>
      </c>
      <c r="M7" s="86">
        <f>K7*L7</f>
        <v>2720</v>
      </c>
      <c r="N7" s="91">
        <v>0.12</v>
      </c>
      <c r="O7" s="86">
        <f>M7*N7</f>
        <v>326.39999999999998</v>
      </c>
      <c r="P7" s="100">
        <v>45</v>
      </c>
      <c r="Q7" s="102">
        <f>O7*P7</f>
        <v>14687.999999999998</v>
      </c>
    </row>
    <row r="8" spans="1:17" ht="15.75" thickBot="1">
      <c r="A8" s="114" t="s">
        <v>239</v>
      </c>
      <c r="B8" s="143" t="s">
        <v>241</v>
      </c>
      <c r="C8" s="143" t="s">
        <v>241</v>
      </c>
      <c r="D8" s="143" t="s">
        <v>241</v>
      </c>
      <c r="E8" s="144" t="s">
        <v>241</v>
      </c>
      <c r="H8" s="94" t="s">
        <v>221</v>
      </c>
      <c r="I8" s="95">
        <v>17</v>
      </c>
      <c r="J8" s="95">
        <v>20</v>
      </c>
      <c r="K8" s="95">
        <f>I8*J8</f>
        <v>340</v>
      </c>
      <c r="L8" s="95">
        <v>8</v>
      </c>
      <c r="M8" s="95">
        <f>K8*L8</f>
        <v>2720</v>
      </c>
      <c r="N8" s="105">
        <v>0.12</v>
      </c>
      <c r="O8" s="95">
        <f>M8*N8</f>
        <v>326.39999999999998</v>
      </c>
      <c r="P8" s="159">
        <v>40</v>
      </c>
      <c r="Q8" s="106">
        <f>O8*P8</f>
        <v>13056</v>
      </c>
    </row>
    <row r="9" spans="1:17" ht="15">
      <c r="A9" s="545" t="s">
        <v>455</v>
      </c>
      <c r="B9" s="547" t="s">
        <v>241</v>
      </c>
      <c r="C9" s="547" t="s">
        <v>241</v>
      </c>
      <c r="D9" s="547" t="s">
        <v>241</v>
      </c>
      <c r="E9" s="549" t="s">
        <v>241</v>
      </c>
      <c r="H9" s="141"/>
      <c r="N9" s="120"/>
      <c r="P9" s="142"/>
      <c r="Q9" s="65"/>
    </row>
    <row r="10" spans="1:17" ht="15">
      <c r="A10" s="546"/>
      <c r="B10" s="548"/>
      <c r="C10" s="548"/>
      <c r="D10" s="548"/>
      <c r="E10" s="550"/>
      <c r="H10" s="141"/>
      <c r="N10" s="120"/>
      <c r="P10" s="142"/>
      <c r="Q10" s="65"/>
    </row>
    <row r="11" spans="1:17" ht="15">
      <c r="A11" s="114" t="s">
        <v>240</v>
      </c>
      <c r="B11" s="143" t="s">
        <v>241</v>
      </c>
      <c r="C11" s="143" t="s">
        <v>241</v>
      </c>
      <c r="D11" s="143" t="s">
        <v>241</v>
      </c>
      <c r="E11" s="144" t="s">
        <v>241</v>
      </c>
      <c r="H11" s="141"/>
      <c r="N11" s="120"/>
      <c r="P11" s="142"/>
      <c r="Q11" s="65"/>
    </row>
    <row r="12" spans="1:17" ht="15.75" thickBot="1">
      <c r="A12" s="114" t="s">
        <v>243</v>
      </c>
      <c r="B12" s="143" t="s">
        <v>241</v>
      </c>
      <c r="C12" s="143" t="s">
        <v>241</v>
      </c>
      <c r="D12" s="143" t="s">
        <v>241</v>
      </c>
      <c r="E12" s="144" t="s">
        <v>241</v>
      </c>
    </row>
    <row r="13" spans="1:17" ht="15" customHeight="1">
      <c r="A13" s="117" t="s">
        <v>456</v>
      </c>
      <c r="B13" s="145" t="s">
        <v>241</v>
      </c>
      <c r="C13" s="145" t="s">
        <v>241</v>
      </c>
      <c r="D13" s="145" t="s">
        <v>241</v>
      </c>
      <c r="E13" s="146" t="s">
        <v>241</v>
      </c>
      <c r="G13" s="90"/>
      <c r="H13" s="536" t="s">
        <v>472</v>
      </c>
      <c r="I13" s="537"/>
      <c r="J13" s="537"/>
      <c r="K13" s="537"/>
      <c r="L13" s="537"/>
      <c r="M13" s="537"/>
      <c r="N13" s="537"/>
      <c r="O13" s="537"/>
      <c r="P13" s="537"/>
      <c r="Q13" s="538"/>
    </row>
    <row r="14" spans="1:17" ht="15" customHeight="1" thickBot="1">
      <c r="A14" s="119" t="s">
        <v>452</v>
      </c>
      <c r="B14" s="160" t="s">
        <v>475</v>
      </c>
      <c r="C14" s="160" t="s">
        <v>475</v>
      </c>
      <c r="D14" s="160" t="s">
        <v>241</v>
      </c>
      <c r="E14" s="161" t="s">
        <v>241</v>
      </c>
      <c r="G14" s="90"/>
      <c r="H14" s="539"/>
      <c r="I14" s="540"/>
      <c r="J14" s="540"/>
      <c r="K14" s="540"/>
      <c r="L14" s="540"/>
      <c r="M14" s="540"/>
      <c r="N14" s="540"/>
      <c r="O14" s="540"/>
      <c r="P14" s="540"/>
      <c r="Q14" s="541"/>
    </row>
    <row r="15" spans="1:17" ht="15.75" customHeight="1">
      <c r="A15" s="551" t="s">
        <v>473</v>
      </c>
      <c r="B15" s="553" t="s">
        <v>241</v>
      </c>
      <c r="C15" s="553" t="s">
        <v>241</v>
      </c>
      <c r="D15" s="553" t="s">
        <v>241</v>
      </c>
      <c r="E15" s="554" t="s">
        <v>242</v>
      </c>
      <c r="H15" s="539"/>
      <c r="I15" s="540"/>
      <c r="J15" s="540"/>
      <c r="K15" s="540"/>
      <c r="L15" s="540"/>
      <c r="M15" s="540"/>
      <c r="N15" s="540"/>
      <c r="O15" s="540"/>
      <c r="P15" s="540"/>
      <c r="Q15" s="541"/>
    </row>
    <row r="16" spans="1:17" ht="15" customHeight="1">
      <c r="A16" s="552"/>
      <c r="B16" s="548"/>
      <c r="C16" s="548"/>
      <c r="D16" s="548"/>
      <c r="E16" s="555"/>
      <c r="H16" s="539"/>
      <c r="I16" s="540"/>
      <c r="J16" s="540"/>
      <c r="K16" s="540"/>
      <c r="L16" s="540"/>
      <c r="M16" s="540"/>
      <c r="N16" s="540"/>
      <c r="O16" s="540"/>
      <c r="P16" s="540"/>
      <c r="Q16" s="541"/>
    </row>
    <row r="17" spans="1:17" ht="15">
      <c r="A17" s="114" t="s">
        <v>235</v>
      </c>
      <c r="B17" s="143" t="s">
        <v>241</v>
      </c>
      <c r="C17" s="143" t="s">
        <v>241</v>
      </c>
      <c r="D17" s="143" t="s">
        <v>241</v>
      </c>
      <c r="E17" s="148" t="s">
        <v>242</v>
      </c>
      <c r="H17" s="539"/>
      <c r="I17" s="540"/>
      <c r="J17" s="540"/>
      <c r="K17" s="540"/>
      <c r="L17" s="540"/>
      <c r="M17" s="540"/>
      <c r="N17" s="540"/>
      <c r="O17" s="540"/>
      <c r="P17" s="540"/>
      <c r="Q17" s="541"/>
    </row>
    <row r="18" spans="1:17" ht="15">
      <c r="A18" s="114" t="s">
        <v>238</v>
      </c>
      <c r="B18" s="143" t="s">
        <v>241</v>
      </c>
      <c r="C18" s="143" t="s">
        <v>241</v>
      </c>
      <c r="D18" s="151" t="s">
        <v>242</v>
      </c>
      <c r="E18" s="148" t="s">
        <v>242</v>
      </c>
      <c r="H18" s="539"/>
      <c r="I18" s="540"/>
      <c r="J18" s="540"/>
      <c r="K18" s="540"/>
      <c r="L18" s="540"/>
      <c r="M18" s="540"/>
      <c r="N18" s="540"/>
      <c r="O18" s="540"/>
      <c r="P18" s="540"/>
      <c r="Q18" s="541"/>
    </row>
    <row r="19" spans="1:17" ht="15.75" thickBot="1">
      <c r="A19" s="116" t="s">
        <v>302</v>
      </c>
      <c r="B19" s="147" t="s">
        <v>241</v>
      </c>
      <c r="C19" s="152" t="s">
        <v>242</v>
      </c>
      <c r="D19" s="152" t="s">
        <v>242</v>
      </c>
      <c r="E19" s="149" t="s">
        <v>242</v>
      </c>
      <c r="H19" s="542"/>
      <c r="I19" s="543"/>
      <c r="J19" s="543"/>
      <c r="K19" s="543"/>
      <c r="L19" s="543"/>
      <c r="M19" s="543"/>
      <c r="N19" s="543"/>
      <c r="O19" s="543"/>
      <c r="P19" s="543"/>
      <c r="Q19" s="544"/>
    </row>
    <row r="20" spans="1:17" ht="15">
      <c r="A20" s="118" t="s">
        <v>474</v>
      </c>
      <c r="B20" s="145" t="s">
        <v>241</v>
      </c>
      <c r="C20" s="153" t="s">
        <v>242</v>
      </c>
      <c r="D20" s="153" t="s">
        <v>242</v>
      </c>
      <c r="E20" s="150" t="s">
        <v>242</v>
      </c>
    </row>
  </sheetData>
  <mergeCells count="12">
    <mergeCell ref="H3:Q3"/>
    <mergeCell ref="H13:Q19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856-DAE6-4115-A64D-C8363E6059C2}">
  <dimension ref="A1:G17"/>
  <sheetViews>
    <sheetView workbookViewId="0">
      <selection activeCell="A8" sqref="A8:G8"/>
    </sheetView>
  </sheetViews>
  <sheetFormatPr defaultRowHeight="14.25"/>
  <cols>
    <col min="1" max="1" width="24.375" bestFit="1" customWidth="1"/>
    <col min="2" max="5" width="20.75" customWidth="1"/>
  </cols>
  <sheetData>
    <row r="1" spans="1:7" ht="15.75" thickBot="1">
      <c r="A1" s="556" t="s">
        <v>225</v>
      </c>
      <c r="B1" s="557"/>
      <c r="C1" s="557"/>
      <c r="D1" s="557"/>
      <c r="E1" s="557"/>
      <c r="F1" s="557"/>
      <c r="G1" s="558"/>
    </row>
    <row r="2" spans="1:7" ht="15">
      <c r="A2" s="565" t="s">
        <v>397</v>
      </c>
      <c r="B2" s="566"/>
      <c r="C2" s="566"/>
      <c r="D2" s="566"/>
      <c r="E2" s="566"/>
      <c r="F2" s="566"/>
      <c r="G2" s="567"/>
    </row>
    <row r="3" spans="1:7" ht="15" thickBot="1">
      <c r="A3" s="568" t="s">
        <v>457</v>
      </c>
      <c r="B3" s="569"/>
      <c r="C3" s="569"/>
      <c r="D3" s="569"/>
      <c r="E3" s="569"/>
      <c r="F3" s="122"/>
      <c r="G3" s="123"/>
    </row>
    <row r="4" spans="1:7" ht="15">
      <c r="A4" s="562" t="s">
        <v>396</v>
      </c>
      <c r="B4" s="563"/>
      <c r="C4" s="563"/>
      <c r="D4" s="563"/>
      <c r="E4" s="563"/>
      <c r="F4" s="563"/>
      <c r="G4" s="564"/>
    </row>
    <row r="5" spans="1:7" ht="15" thickBot="1">
      <c r="A5" s="570" t="s">
        <v>399</v>
      </c>
      <c r="B5" s="571"/>
      <c r="C5" s="571"/>
      <c r="D5" s="571"/>
      <c r="E5" s="571"/>
      <c r="F5" s="571"/>
      <c r="G5" s="572"/>
    </row>
    <row r="6" spans="1:7" ht="15">
      <c r="A6" s="565" t="s">
        <v>398</v>
      </c>
      <c r="B6" s="566"/>
      <c r="C6" s="566"/>
      <c r="D6" s="566"/>
      <c r="E6" s="566"/>
      <c r="F6" s="566"/>
      <c r="G6" s="567"/>
    </row>
    <row r="7" spans="1:7" ht="15" thickBot="1">
      <c r="A7" s="559" t="s">
        <v>400</v>
      </c>
      <c r="B7" s="560"/>
      <c r="C7" s="560"/>
      <c r="D7" s="560"/>
      <c r="E7" s="560"/>
      <c r="F7" s="560"/>
      <c r="G7" s="561"/>
    </row>
    <row r="8" spans="1:7" ht="15">
      <c r="A8" s="575"/>
      <c r="B8" s="576"/>
      <c r="C8" s="576"/>
      <c r="D8" s="576"/>
      <c r="E8" s="576"/>
      <c r="F8" s="576"/>
      <c r="G8" s="577"/>
    </row>
    <row r="9" spans="1:7" ht="15" thickBot="1">
      <c r="A9" s="578"/>
      <c r="B9" s="579"/>
      <c r="C9" s="579"/>
      <c r="D9" s="579"/>
      <c r="E9" s="579"/>
      <c r="F9" s="579"/>
      <c r="G9" s="580"/>
    </row>
    <row r="10" spans="1:7" ht="15">
      <c r="A10" s="573"/>
      <c r="B10" s="573"/>
      <c r="C10" s="573"/>
      <c r="D10" s="573"/>
      <c r="E10" s="573"/>
      <c r="F10" s="573"/>
      <c r="G10" s="573"/>
    </row>
    <row r="11" spans="1:7">
      <c r="A11" s="574"/>
      <c r="B11" s="574"/>
      <c r="C11" s="574"/>
      <c r="D11" s="574"/>
      <c r="E11" s="574"/>
      <c r="F11" s="574"/>
      <c r="G11" s="574"/>
    </row>
    <row r="12" spans="1:7" ht="15">
      <c r="A12" s="50"/>
      <c r="B12" s="28"/>
      <c r="C12" s="28"/>
      <c r="D12" s="28"/>
      <c r="E12" s="28"/>
    </row>
    <row r="13" spans="1:7" ht="15">
      <c r="A13" s="50"/>
      <c r="B13" s="28"/>
      <c r="C13" s="28"/>
      <c r="D13" s="28"/>
      <c r="E13" s="28"/>
    </row>
    <row r="14" spans="1:7" ht="15">
      <c r="A14" s="50"/>
      <c r="B14" s="28"/>
      <c r="C14" s="28"/>
      <c r="D14" s="28"/>
      <c r="E14" s="28"/>
    </row>
    <row r="15" spans="1:7" ht="15">
      <c r="A15" s="90"/>
      <c r="B15" s="28"/>
      <c r="C15" s="28"/>
      <c r="D15" s="28"/>
      <c r="E15" s="28"/>
    </row>
    <row r="16" spans="1:7" ht="15">
      <c r="A16" s="90"/>
      <c r="B16" s="28"/>
      <c r="C16" s="28"/>
      <c r="D16" s="28"/>
      <c r="E16" s="28"/>
    </row>
    <row r="17" spans="1:5" ht="15">
      <c r="A17" s="90"/>
      <c r="B17" s="28"/>
      <c r="C17" s="28"/>
      <c r="D17" s="28"/>
      <c r="E17" s="28"/>
    </row>
  </sheetData>
  <mergeCells count="11">
    <mergeCell ref="A10:G10"/>
    <mergeCell ref="A11:G11"/>
    <mergeCell ref="A8:G8"/>
    <mergeCell ref="A9:G9"/>
    <mergeCell ref="A2:G2"/>
    <mergeCell ref="A1:G1"/>
    <mergeCell ref="A7:G7"/>
    <mergeCell ref="A4:G4"/>
    <mergeCell ref="A6:G6"/>
    <mergeCell ref="A3:E3"/>
    <mergeCell ref="A5:G5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2905-A851-4A71-9CB8-89024B8AFC24}">
  <dimension ref="A1:R8"/>
  <sheetViews>
    <sheetView workbookViewId="0">
      <selection activeCell="E14" sqref="E14"/>
    </sheetView>
  </sheetViews>
  <sheetFormatPr defaultRowHeight="14.25"/>
  <sheetData>
    <row r="1" spans="1:18" ht="72" customHeight="1">
      <c r="A1" s="154" t="s">
        <v>459</v>
      </c>
      <c r="B1" s="581" t="s">
        <v>458</v>
      </c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  <c r="R1" s="582"/>
    </row>
    <row r="2" spans="1:18">
      <c r="A2" s="583" t="s">
        <v>460</v>
      </c>
      <c r="B2" s="584" t="s">
        <v>461</v>
      </c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5"/>
    </row>
    <row r="3" spans="1:18">
      <c r="A3" s="583"/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584"/>
      <c r="O3" s="584"/>
      <c r="P3" s="584"/>
      <c r="Q3" s="584"/>
      <c r="R3" s="585"/>
    </row>
    <row r="4" spans="1:18">
      <c r="A4" s="583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5"/>
    </row>
    <row r="5" spans="1:18">
      <c r="A5" s="583"/>
      <c r="B5" s="584"/>
      <c r="C5" s="584"/>
      <c r="D5" s="584"/>
      <c r="E5" s="584"/>
      <c r="F5" s="584"/>
      <c r="G5" s="584"/>
      <c r="H5" s="584"/>
      <c r="I5" s="584"/>
      <c r="J5" s="584"/>
      <c r="K5" s="584"/>
      <c r="L5" s="584"/>
      <c r="M5" s="584"/>
      <c r="N5" s="584"/>
      <c r="O5" s="584"/>
      <c r="P5" s="584"/>
      <c r="Q5" s="584"/>
      <c r="R5" s="585"/>
    </row>
    <row r="6" spans="1:18">
      <c r="A6" s="583" t="s">
        <v>462</v>
      </c>
      <c r="B6" s="584" t="s">
        <v>463</v>
      </c>
      <c r="C6" s="584"/>
      <c r="D6" s="584"/>
      <c r="E6" s="584"/>
      <c r="F6" s="584"/>
      <c r="G6" s="584"/>
      <c r="H6" s="584"/>
      <c r="I6" s="584"/>
      <c r="J6" s="584"/>
      <c r="K6" s="584"/>
      <c r="L6" s="584"/>
      <c r="M6" s="584"/>
      <c r="N6" s="584"/>
      <c r="O6" s="584"/>
      <c r="P6" s="584"/>
      <c r="Q6" s="584"/>
      <c r="R6" s="585"/>
    </row>
    <row r="7" spans="1:18">
      <c r="A7" s="583"/>
      <c r="B7" s="584"/>
      <c r="C7" s="584"/>
      <c r="D7" s="584"/>
      <c r="E7" s="584"/>
      <c r="F7" s="584"/>
      <c r="G7" s="584"/>
      <c r="H7" s="584"/>
      <c r="I7" s="584"/>
      <c r="J7" s="584"/>
      <c r="K7" s="584"/>
      <c r="L7" s="584"/>
      <c r="M7" s="584"/>
      <c r="N7" s="584"/>
      <c r="O7" s="584"/>
      <c r="P7" s="584"/>
      <c r="Q7" s="584"/>
      <c r="R7" s="585"/>
    </row>
    <row r="8" spans="1:18" ht="15" thickBot="1">
      <c r="A8" s="586"/>
      <c r="B8" s="587"/>
      <c r="C8" s="587"/>
      <c r="D8" s="587"/>
      <c r="E8" s="587"/>
      <c r="F8" s="587"/>
      <c r="G8" s="587"/>
      <c r="H8" s="587"/>
      <c r="I8" s="587"/>
      <c r="J8" s="587"/>
      <c r="K8" s="587"/>
      <c r="L8" s="587"/>
      <c r="M8" s="587"/>
      <c r="N8" s="587"/>
      <c r="O8" s="587"/>
      <c r="P8" s="587"/>
      <c r="Q8" s="587"/>
      <c r="R8" s="588"/>
    </row>
  </sheetData>
  <mergeCells count="5">
    <mergeCell ref="B1:R1"/>
    <mergeCell ref="A2:A5"/>
    <mergeCell ref="B2:R5"/>
    <mergeCell ref="A6:A8"/>
    <mergeCell ref="B6:R8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6C58-DFA8-4DA9-BAB3-411A03DDC73E}">
  <dimension ref="A2:P23"/>
  <sheetViews>
    <sheetView topLeftCell="A5" workbookViewId="0">
      <selection activeCell="K24" sqref="K24"/>
    </sheetView>
  </sheetViews>
  <sheetFormatPr defaultRowHeight="14.25"/>
  <cols>
    <col min="4" max="4" width="9.625" bestFit="1" customWidth="1"/>
    <col min="10" max="10" width="9.625" bestFit="1" customWidth="1"/>
    <col min="11" max="11" width="9.625" customWidth="1"/>
    <col min="14" max="14" width="10.625" bestFit="1" customWidth="1"/>
  </cols>
  <sheetData>
    <row r="2" spans="1:16" ht="15">
      <c r="D2" s="405" t="s">
        <v>286</v>
      </c>
      <c r="E2" s="405"/>
      <c r="F2" s="405"/>
      <c r="G2" s="405"/>
      <c r="H2" s="405"/>
      <c r="I2" s="405"/>
    </row>
    <row r="3" spans="1:16" ht="15">
      <c r="D3" s="85" t="s">
        <v>289</v>
      </c>
      <c r="E3" s="85" t="s">
        <v>290</v>
      </c>
      <c r="F3" s="86"/>
      <c r="G3" s="85" t="s">
        <v>287</v>
      </c>
      <c r="H3" s="86" t="s">
        <v>288</v>
      </c>
      <c r="I3" s="84" t="s">
        <v>291</v>
      </c>
    </row>
    <row r="4" spans="1:16">
      <c r="D4" s="87">
        <v>2529</v>
      </c>
      <c r="E4" s="85">
        <v>3</v>
      </c>
      <c r="F4" s="88">
        <f>D4/E4</f>
        <v>843</v>
      </c>
      <c r="G4" s="85">
        <v>36</v>
      </c>
      <c r="H4" s="89">
        <v>200</v>
      </c>
      <c r="I4" s="87">
        <v>20</v>
      </c>
      <c r="J4" s="35">
        <f>G4*I4</f>
        <v>720</v>
      </c>
      <c r="K4" s="35"/>
      <c r="L4" s="32">
        <v>55</v>
      </c>
      <c r="M4" s="35">
        <f>H4-L4</f>
        <v>145</v>
      </c>
      <c r="N4" s="35">
        <f>M4*G4</f>
        <v>5220</v>
      </c>
    </row>
    <row r="5" spans="1:16">
      <c r="D5" s="87">
        <v>2099</v>
      </c>
      <c r="E5" s="85">
        <v>6</v>
      </c>
      <c r="F5" s="88">
        <f t="shared" ref="F5:F6" si="0">D5/E5</f>
        <v>349.83333333333331</v>
      </c>
      <c r="G5" s="85">
        <v>76</v>
      </c>
      <c r="H5" s="89">
        <v>166</v>
      </c>
      <c r="I5" s="87">
        <v>20</v>
      </c>
      <c r="J5" s="35">
        <f t="shared" ref="J5:J6" si="1">G5*I5</f>
        <v>1520</v>
      </c>
      <c r="K5" s="35"/>
      <c r="L5" s="32">
        <v>55</v>
      </c>
      <c r="M5" s="35">
        <f>H5-L5</f>
        <v>111</v>
      </c>
      <c r="N5" s="35">
        <f t="shared" ref="N5:N6" si="2">M5*G5</f>
        <v>8436</v>
      </c>
    </row>
    <row r="6" spans="1:16">
      <c r="D6" s="87">
        <v>1839</v>
      </c>
      <c r="E6" s="85">
        <v>12</v>
      </c>
      <c r="F6" s="88">
        <f t="shared" si="0"/>
        <v>153.25</v>
      </c>
      <c r="G6" s="85">
        <v>152</v>
      </c>
      <c r="H6" s="89">
        <v>145</v>
      </c>
      <c r="I6" s="87">
        <v>20</v>
      </c>
      <c r="J6" s="35">
        <f t="shared" si="1"/>
        <v>3040</v>
      </c>
      <c r="K6" s="35"/>
      <c r="L6" s="32">
        <v>55</v>
      </c>
      <c r="M6" s="35">
        <f>H6-L6</f>
        <v>90</v>
      </c>
      <c r="N6" s="35">
        <f t="shared" si="2"/>
        <v>13680</v>
      </c>
    </row>
    <row r="10" spans="1:16" ht="15">
      <c r="A10" s="604" t="s">
        <v>319</v>
      </c>
      <c r="B10" s="605"/>
      <c r="C10" s="605"/>
      <c r="D10" s="605"/>
      <c r="E10" s="605"/>
      <c r="F10" s="605"/>
      <c r="G10" s="605"/>
      <c r="H10" s="605"/>
      <c r="I10" s="605"/>
      <c r="J10" s="605"/>
    </row>
    <row r="11" spans="1:16" ht="15">
      <c r="A11" s="599" t="s">
        <v>304</v>
      </c>
      <c r="B11" s="600"/>
      <c r="C11" s="601"/>
      <c r="D11" s="599" t="s">
        <v>317</v>
      </c>
      <c r="E11" s="601"/>
      <c r="F11" s="599" t="s">
        <v>306</v>
      </c>
      <c r="G11" s="601"/>
      <c r="H11" s="531" t="s">
        <v>323</v>
      </c>
      <c r="I11" s="531"/>
      <c r="J11" s="531"/>
      <c r="K11" s="531" t="s">
        <v>325</v>
      </c>
      <c r="L11" s="531"/>
      <c r="M11" s="531"/>
      <c r="N11" s="531"/>
      <c r="O11" s="531"/>
      <c r="P11" s="531"/>
    </row>
    <row r="12" spans="1:16" ht="15">
      <c r="A12" s="596" t="s">
        <v>305</v>
      </c>
      <c r="B12" s="597"/>
      <c r="C12" s="598"/>
      <c r="D12" s="602" t="s">
        <v>303</v>
      </c>
      <c r="E12" s="603"/>
      <c r="F12" s="590">
        <v>400</v>
      </c>
      <c r="G12" s="591"/>
      <c r="H12" s="606" t="s">
        <v>333</v>
      </c>
      <c r="I12" s="606"/>
      <c r="J12" s="606"/>
      <c r="K12" s="387" t="s">
        <v>327</v>
      </c>
      <c r="L12" s="387"/>
      <c r="M12" s="387"/>
      <c r="N12" s="387"/>
      <c r="O12" s="387"/>
      <c r="P12" s="387"/>
    </row>
    <row r="13" spans="1:16" ht="15">
      <c r="A13" s="596" t="s">
        <v>307</v>
      </c>
      <c r="B13" s="597"/>
      <c r="C13" s="598"/>
      <c r="D13" s="602" t="s">
        <v>334</v>
      </c>
      <c r="E13" s="603"/>
      <c r="F13" s="590">
        <v>400</v>
      </c>
      <c r="G13" s="591"/>
      <c r="H13" s="607" t="s">
        <v>332</v>
      </c>
      <c r="I13" s="607"/>
      <c r="J13" s="607"/>
      <c r="K13" s="387" t="s">
        <v>330</v>
      </c>
      <c r="L13" s="387"/>
      <c r="M13" s="387"/>
      <c r="N13" s="387"/>
      <c r="O13" s="387"/>
      <c r="P13" s="387"/>
    </row>
    <row r="14" spans="1:16" ht="15">
      <c r="A14" s="418" t="s">
        <v>314</v>
      </c>
      <c r="B14" s="418"/>
      <c r="C14" s="418"/>
      <c r="D14" s="387" t="s">
        <v>315</v>
      </c>
      <c r="E14" s="387"/>
      <c r="F14" s="593">
        <v>400</v>
      </c>
      <c r="G14" s="593"/>
      <c r="H14" s="589">
        <v>700</v>
      </c>
      <c r="I14" s="589"/>
      <c r="J14" s="589"/>
      <c r="K14" s="387" t="s">
        <v>327</v>
      </c>
      <c r="L14" s="387"/>
      <c r="M14" s="387"/>
      <c r="N14" s="387"/>
      <c r="O14" s="387"/>
      <c r="P14" s="387"/>
    </row>
    <row r="15" spans="1:16" ht="15">
      <c r="A15" s="594" t="s">
        <v>310</v>
      </c>
      <c r="B15" s="594"/>
      <c r="C15" s="594"/>
      <c r="D15" s="595" t="s">
        <v>311</v>
      </c>
      <c r="E15" s="595"/>
      <c r="F15" s="609">
        <v>80</v>
      </c>
      <c r="G15" s="609"/>
      <c r="H15" s="589">
        <v>180</v>
      </c>
      <c r="I15" s="589"/>
      <c r="J15" s="589"/>
      <c r="K15" s="387" t="s">
        <v>328</v>
      </c>
      <c r="L15" s="387"/>
      <c r="M15" s="387"/>
      <c r="N15" s="387"/>
      <c r="O15" s="387"/>
      <c r="P15" s="387"/>
    </row>
    <row r="16" spans="1:16" ht="15">
      <c r="A16" s="418" t="s">
        <v>312</v>
      </c>
      <c r="B16" s="418"/>
      <c r="C16" s="418"/>
      <c r="D16" s="387" t="s">
        <v>313</v>
      </c>
      <c r="E16" s="387"/>
      <c r="F16" s="593">
        <v>300</v>
      </c>
      <c r="G16" s="593"/>
      <c r="H16" s="589">
        <v>500</v>
      </c>
      <c r="I16" s="589"/>
      <c r="J16" s="589"/>
      <c r="K16" s="387" t="s">
        <v>328</v>
      </c>
      <c r="L16" s="387"/>
      <c r="M16" s="387"/>
      <c r="N16" s="387"/>
      <c r="O16" s="387"/>
      <c r="P16" s="387"/>
    </row>
    <row r="17" spans="1:16" ht="15">
      <c r="A17" s="594" t="s">
        <v>308</v>
      </c>
      <c r="B17" s="594"/>
      <c r="C17" s="594"/>
      <c r="D17" s="595" t="s">
        <v>309</v>
      </c>
      <c r="E17" s="595"/>
      <c r="F17" s="609">
        <v>300</v>
      </c>
      <c r="G17" s="609"/>
      <c r="H17" s="589">
        <v>150</v>
      </c>
      <c r="I17" s="589"/>
      <c r="J17" s="589"/>
      <c r="K17" s="387" t="s">
        <v>328</v>
      </c>
      <c r="L17" s="387"/>
      <c r="M17" s="387"/>
      <c r="N17" s="387"/>
      <c r="O17" s="387"/>
      <c r="P17" s="387"/>
    </row>
    <row r="18" spans="1:16" ht="15">
      <c r="A18" s="418" t="s">
        <v>324</v>
      </c>
      <c r="B18" s="418"/>
      <c r="C18" s="418"/>
      <c r="D18" s="387" t="s">
        <v>316</v>
      </c>
      <c r="E18" s="387"/>
      <c r="F18" s="608">
        <v>300</v>
      </c>
      <c r="G18" s="387"/>
      <c r="H18" s="589" t="s">
        <v>331</v>
      </c>
      <c r="I18" s="589"/>
      <c r="J18" s="589"/>
      <c r="K18" s="387" t="s">
        <v>329</v>
      </c>
      <c r="L18" s="387"/>
      <c r="M18" s="387"/>
      <c r="N18" s="387"/>
      <c r="O18" s="387"/>
      <c r="P18" s="387"/>
    </row>
    <row r="19" spans="1:16" ht="15">
      <c r="A19" s="611" t="s">
        <v>318</v>
      </c>
      <c r="B19" s="611"/>
      <c r="C19" s="611"/>
      <c r="D19" s="612" t="s">
        <v>320</v>
      </c>
      <c r="E19" s="612"/>
      <c r="F19" s="613">
        <v>550</v>
      </c>
      <c r="G19" s="613"/>
      <c r="H19" s="610">
        <v>1800</v>
      </c>
      <c r="I19" s="610"/>
      <c r="J19" s="610"/>
      <c r="K19" s="387" t="s">
        <v>330</v>
      </c>
      <c r="L19" s="387"/>
      <c r="M19" s="387"/>
      <c r="N19" s="387"/>
      <c r="O19" s="387"/>
      <c r="P19" s="387"/>
    </row>
    <row r="20" spans="1:16" ht="15">
      <c r="A20" s="418" t="s">
        <v>321</v>
      </c>
      <c r="B20" s="418"/>
      <c r="C20" s="418"/>
      <c r="D20" s="387" t="s">
        <v>322</v>
      </c>
      <c r="E20" s="387"/>
      <c r="F20" s="593">
        <v>0</v>
      </c>
      <c r="G20" s="593"/>
      <c r="H20" s="610">
        <v>2000</v>
      </c>
      <c r="I20" s="610"/>
      <c r="J20" s="610"/>
      <c r="K20" s="387" t="s">
        <v>330</v>
      </c>
      <c r="L20" s="387"/>
      <c r="M20" s="387"/>
      <c r="N20" s="387"/>
      <c r="O20" s="387"/>
      <c r="P20" s="387"/>
    </row>
    <row r="21" spans="1:16" ht="15" customHeight="1">
      <c r="A21" s="530" t="s">
        <v>384</v>
      </c>
      <c r="B21" s="530"/>
      <c r="C21" s="530"/>
      <c r="D21" s="530" t="s">
        <v>326</v>
      </c>
      <c r="E21" s="530"/>
      <c r="F21" s="592">
        <v>0</v>
      </c>
      <c r="G21" s="592"/>
      <c r="H21" s="592">
        <v>0</v>
      </c>
      <c r="I21" s="592"/>
      <c r="J21" s="592"/>
      <c r="K21" s="533" t="s">
        <v>574</v>
      </c>
      <c r="L21" s="533"/>
      <c r="M21" s="533"/>
      <c r="N21" s="533"/>
      <c r="O21" s="533"/>
      <c r="P21" s="533"/>
    </row>
    <row r="22" spans="1:16" ht="15" customHeight="1">
      <c r="A22" s="530"/>
      <c r="B22" s="530"/>
      <c r="C22" s="530"/>
      <c r="D22" s="530"/>
      <c r="E22" s="530"/>
      <c r="F22" s="592"/>
      <c r="G22" s="592"/>
      <c r="H22" s="592"/>
      <c r="I22" s="592"/>
      <c r="J22" s="592"/>
      <c r="K22" s="533"/>
      <c r="L22" s="533"/>
      <c r="M22" s="533"/>
      <c r="N22" s="533"/>
      <c r="O22" s="533"/>
      <c r="P22" s="533"/>
    </row>
    <row r="23" spans="1:16">
      <c r="A23" s="530"/>
      <c r="B23" s="530"/>
      <c r="C23" s="530"/>
      <c r="D23" s="530"/>
      <c r="E23" s="530"/>
      <c r="F23" s="592"/>
      <c r="G23" s="592"/>
      <c r="H23" s="592"/>
      <c r="I23" s="592"/>
      <c r="J23" s="592"/>
      <c r="K23" s="533"/>
      <c r="L23" s="533"/>
      <c r="M23" s="533"/>
      <c r="N23" s="533"/>
      <c r="O23" s="533"/>
      <c r="P23" s="533"/>
    </row>
  </sheetData>
  <mergeCells count="57">
    <mergeCell ref="K16:P16"/>
    <mergeCell ref="K17:P17"/>
    <mergeCell ref="K18:P18"/>
    <mergeCell ref="K19:P19"/>
    <mergeCell ref="K20:P20"/>
    <mergeCell ref="K11:P11"/>
    <mergeCell ref="K12:P12"/>
    <mergeCell ref="K13:P13"/>
    <mergeCell ref="K14:P14"/>
    <mergeCell ref="K15:P15"/>
    <mergeCell ref="H19:J19"/>
    <mergeCell ref="A20:C20"/>
    <mergeCell ref="D20:E20"/>
    <mergeCell ref="F20:G20"/>
    <mergeCell ref="H20:J20"/>
    <mergeCell ref="A19:C19"/>
    <mergeCell ref="D19:E19"/>
    <mergeCell ref="F19:G19"/>
    <mergeCell ref="A18:C18"/>
    <mergeCell ref="D18:E18"/>
    <mergeCell ref="F18:G18"/>
    <mergeCell ref="F15:G15"/>
    <mergeCell ref="A16:C16"/>
    <mergeCell ref="D16:E16"/>
    <mergeCell ref="F16:G16"/>
    <mergeCell ref="A17:C17"/>
    <mergeCell ref="D17:E17"/>
    <mergeCell ref="F17:G17"/>
    <mergeCell ref="D2:I2"/>
    <mergeCell ref="A12:C12"/>
    <mergeCell ref="A13:C13"/>
    <mergeCell ref="A11:C11"/>
    <mergeCell ref="D11:E11"/>
    <mergeCell ref="F11:G11"/>
    <mergeCell ref="D12:E12"/>
    <mergeCell ref="A10:J10"/>
    <mergeCell ref="H12:J12"/>
    <mergeCell ref="H13:J13"/>
    <mergeCell ref="H11:J11"/>
    <mergeCell ref="D13:E13"/>
    <mergeCell ref="F13:G13"/>
    <mergeCell ref="H14:J14"/>
    <mergeCell ref="H15:J15"/>
    <mergeCell ref="F12:G12"/>
    <mergeCell ref="K21:P23"/>
    <mergeCell ref="A21:C23"/>
    <mergeCell ref="D21:E23"/>
    <mergeCell ref="F21:G23"/>
    <mergeCell ref="H21:J23"/>
    <mergeCell ref="H16:J16"/>
    <mergeCell ref="H17:J17"/>
    <mergeCell ref="H18:J18"/>
    <mergeCell ref="A14:C14"/>
    <mergeCell ref="D14:E14"/>
    <mergeCell ref="F14:G14"/>
    <mergeCell ref="A15:C15"/>
    <mergeCell ref="D15:E15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02FA-B28D-4812-AAEE-96E884B424BD}">
  <dimension ref="A1:G12"/>
  <sheetViews>
    <sheetView workbookViewId="0">
      <selection activeCell="K15" sqref="K15"/>
    </sheetView>
  </sheetViews>
  <sheetFormatPr defaultRowHeight="14.25"/>
  <sheetData>
    <row r="1" spans="1:7" ht="15">
      <c r="A1" s="615" t="s">
        <v>401</v>
      </c>
      <c r="B1" s="615"/>
      <c r="C1" s="615"/>
      <c r="D1" s="615"/>
      <c r="E1" s="615"/>
      <c r="F1" s="615"/>
      <c r="G1" s="615"/>
    </row>
    <row r="2" spans="1:7">
      <c r="A2" s="614" t="s">
        <v>403</v>
      </c>
      <c r="B2" s="614"/>
      <c r="C2" s="614"/>
      <c r="D2" s="614"/>
      <c r="E2" s="614"/>
      <c r="F2" s="614"/>
      <c r="G2" s="614"/>
    </row>
    <row r="3" spans="1:7">
      <c r="A3" s="614" t="s">
        <v>402</v>
      </c>
      <c r="B3" s="614"/>
      <c r="C3" s="614"/>
      <c r="D3" s="614"/>
      <c r="E3" s="614"/>
      <c r="F3" s="614"/>
      <c r="G3" s="614"/>
    </row>
    <row r="4" spans="1:7">
      <c r="A4" s="614" t="s">
        <v>404</v>
      </c>
      <c r="B4" s="614"/>
      <c r="C4" s="614"/>
      <c r="D4" s="614"/>
      <c r="E4" s="614"/>
      <c r="F4" s="614"/>
      <c r="G4" s="614"/>
    </row>
    <row r="5" spans="1:7">
      <c r="A5" s="614" t="s">
        <v>405</v>
      </c>
      <c r="B5" s="614"/>
      <c r="C5" s="614"/>
      <c r="D5" s="614"/>
      <c r="E5" s="614"/>
      <c r="F5" s="614"/>
      <c r="G5" s="614"/>
    </row>
    <row r="6" spans="1:7">
      <c r="A6" s="614" t="s">
        <v>406</v>
      </c>
      <c r="B6" s="614"/>
      <c r="C6" s="614"/>
      <c r="D6" s="614"/>
      <c r="E6" s="614"/>
      <c r="F6" s="614"/>
      <c r="G6" s="614"/>
    </row>
    <row r="7" spans="1:7">
      <c r="A7" s="614" t="s">
        <v>407</v>
      </c>
      <c r="B7" s="614"/>
      <c r="C7" s="614"/>
      <c r="D7" s="614"/>
      <c r="E7" s="614"/>
      <c r="F7" s="614"/>
      <c r="G7" s="614"/>
    </row>
    <row r="8" spans="1:7">
      <c r="A8" s="614" t="s">
        <v>408</v>
      </c>
      <c r="B8" s="614"/>
      <c r="C8" s="614"/>
      <c r="D8" s="614"/>
      <c r="E8" s="614"/>
      <c r="F8" s="614"/>
      <c r="G8" s="614"/>
    </row>
    <row r="9" spans="1:7">
      <c r="A9" s="614" t="s">
        <v>409</v>
      </c>
      <c r="B9" s="614"/>
      <c r="C9" s="614"/>
      <c r="D9" s="614"/>
      <c r="E9" s="614"/>
      <c r="F9" s="614"/>
      <c r="G9" s="614"/>
    </row>
    <row r="11" spans="1:7" ht="15">
      <c r="A11" s="615" t="s">
        <v>410</v>
      </c>
      <c r="B11" s="615"/>
      <c r="C11" s="615"/>
      <c r="D11" s="615"/>
      <c r="E11" s="615"/>
      <c r="F11" s="615"/>
      <c r="G11" s="615"/>
    </row>
    <row r="12" spans="1:7">
      <c r="A12" s="614" t="s">
        <v>411</v>
      </c>
      <c r="B12" s="614"/>
      <c r="C12" s="614"/>
      <c r="D12" s="614"/>
      <c r="E12" s="614"/>
      <c r="F12" s="614"/>
      <c r="G12" s="614"/>
    </row>
  </sheetData>
  <mergeCells count="11">
    <mergeCell ref="A7:G7"/>
    <mergeCell ref="A8:G8"/>
    <mergeCell ref="A9:G9"/>
    <mergeCell ref="A11:G11"/>
    <mergeCell ref="A12:G12"/>
    <mergeCell ref="A6:G6"/>
    <mergeCell ref="A1:G1"/>
    <mergeCell ref="A2:G2"/>
    <mergeCell ref="A3:G3"/>
    <mergeCell ref="A4:G4"/>
    <mergeCell ref="A5:G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Orçamento</vt:lpstr>
      <vt:lpstr>Custo investimento Lab</vt:lpstr>
      <vt:lpstr>Financiamento</vt:lpstr>
      <vt:lpstr>Água e luz</vt:lpstr>
      <vt:lpstr>Cálcul. trabalhado</vt:lpstr>
      <vt:lpstr>Ocupação e unit economics 2.0</vt:lpstr>
      <vt:lpstr>Cálculo kit higiene</vt:lpstr>
      <vt:lpstr>Equipe</vt:lpstr>
      <vt:lpstr>Orçamento máquinas</vt:lpstr>
      <vt:lpstr>Cronog. de Ativ. </vt:lpstr>
      <vt:lpstr>Cálcul. para definição benefic</vt:lpstr>
      <vt:lpstr>Fórmulas fee para split</vt:lpstr>
      <vt:lpstr>Benefícios Personal</vt:lpstr>
      <vt:lpstr>Benefícios aluno</vt:lpstr>
      <vt:lpstr>Manifesto</vt:lpstr>
      <vt:lpstr>Concorrentes</vt:lpstr>
      <vt:lpstr>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amarildo silva</dc:creator>
  <cp:lastModifiedBy>Fabricio</cp:lastModifiedBy>
  <cp:lastPrinted>2025-09-15T20:39:12Z</cp:lastPrinted>
  <dcterms:created xsi:type="dcterms:W3CDTF">2025-09-08T20:20:36Z</dcterms:created>
  <dcterms:modified xsi:type="dcterms:W3CDTF">2026-03-17T23:15:06Z</dcterms:modified>
</cp:coreProperties>
</file>