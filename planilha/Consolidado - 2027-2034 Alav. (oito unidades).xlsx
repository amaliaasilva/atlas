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Fabricio\Desktop\CoWorkout\Versão 16\Versões 16 - (Alavancagem)\Unidades (Alav.)\"/>
    </mc:Choice>
  </mc:AlternateContent>
  <xr:revisionPtr revIDLastSave="0" documentId="13_ncr:1_{CD6EBD00-8C0D-4CD1-9AC4-85F2A5ACEFF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esultado consolidado" sheetId="1" r:id="rId1"/>
    <sheet name="Capex Total 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2" l="1"/>
  <c r="D2" i="2"/>
  <c r="L24" i="1" l="1"/>
  <c r="K24" i="1"/>
  <c r="J24" i="1"/>
  <c r="I24" i="1"/>
  <c r="L23" i="1"/>
  <c r="K23" i="1"/>
  <c r="J23" i="1"/>
  <c r="I23" i="1"/>
  <c r="D23" i="1"/>
  <c r="C23" i="1"/>
  <c r="H22" i="1"/>
  <c r="H21" i="1"/>
  <c r="D21" i="1"/>
  <c r="C21" i="1"/>
  <c r="D20" i="1"/>
  <c r="C20" i="1"/>
  <c r="G19" i="1"/>
  <c r="G18" i="1"/>
  <c r="D18" i="1"/>
  <c r="C18" i="1"/>
  <c r="D17" i="1"/>
  <c r="C17" i="1"/>
  <c r="F16" i="1"/>
  <c r="F15" i="1"/>
  <c r="D15" i="1"/>
  <c r="C15" i="1"/>
  <c r="D14" i="1"/>
  <c r="C14" i="1"/>
  <c r="E13" i="1"/>
  <c r="E12" i="1"/>
  <c r="D12" i="1"/>
  <c r="D25" i="1" s="1"/>
  <c r="C12" i="1"/>
  <c r="DG6" i="1" l="1"/>
  <c r="C5" i="2" l="1"/>
  <c r="C7" i="2" s="1"/>
  <c r="D5" i="2" l="1"/>
  <c r="C6" i="2"/>
  <c r="C8" i="2" s="1"/>
  <c r="D3" i="2" l="1"/>
  <c r="D4" i="2" l="1"/>
  <c r="AG8" i="1"/>
  <c r="AT8" i="1"/>
  <c r="BG8" i="1"/>
  <c r="BT8" i="1"/>
  <c r="CG8" i="1"/>
  <c r="CT8" i="1"/>
  <c r="D8" i="1"/>
  <c r="E8" i="1"/>
  <c r="T8" i="1"/>
  <c r="C8" i="1"/>
  <c r="AD2" i="1"/>
  <c r="AE2" i="1"/>
  <c r="AF2" i="1"/>
  <c r="AH2" i="1"/>
  <c r="AI2" i="1"/>
  <c r="AJ2" i="1"/>
  <c r="AK2" i="1"/>
  <c r="AL2" i="1"/>
  <c r="AM2" i="1"/>
  <c r="AN2" i="1"/>
  <c r="AO2" i="1"/>
  <c r="AP2" i="1"/>
  <c r="AQ2" i="1"/>
  <c r="AR2" i="1"/>
  <c r="AS2" i="1"/>
  <c r="AU2" i="1"/>
  <c r="AV2" i="1"/>
  <c r="AW2" i="1"/>
  <c r="AX2" i="1"/>
  <c r="AY2" i="1"/>
  <c r="AZ2" i="1"/>
  <c r="BA2" i="1"/>
  <c r="BB2" i="1"/>
  <c r="BC2" i="1"/>
  <c r="BD2" i="1"/>
  <c r="BE2" i="1"/>
  <c r="BF2" i="1"/>
  <c r="BH2" i="1"/>
  <c r="BI2" i="1"/>
  <c r="BJ2" i="1"/>
  <c r="BK2" i="1"/>
  <c r="BL2" i="1"/>
  <c r="BM2" i="1"/>
  <c r="BN2" i="1"/>
  <c r="BO2" i="1"/>
  <c r="BP2" i="1"/>
  <c r="BQ2" i="1"/>
  <c r="BR2" i="1"/>
  <c r="BS2" i="1"/>
  <c r="BU2" i="1"/>
  <c r="BV2" i="1"/>
  <c r="BW2" i="1"/>
  <c r="BX2" i="1"/>
  <c r="BY2" i="1"/>
  <c r="BZ2" i="1"/>
  <c r="CA2" i="1"/>
  <c r="CB2" i="1"/>
  <c r="CC2" i="1"/>
  <c r="CD2" i="1"/>
  <c r="CE2" i="1"/>
  <c r="CF2" i="1"/>
  <c r="CH2" i="1"/>
  <c r="CI2" i="1"/>
  <c r="CJ2" i="1"/>
  <c r="CK2" i="1"/>
  <c r="CL2" i="1"/>
  <c r="CM2" i="1"/>
  <c r="CN2" i="1"/>
  <c r="CO2" i="1"/>
  <c r="CP2" i="1"/>
  <c r="CQ2" i="1"/>
  <c r="CR2" i="1"/>
  <c r="CS2" i="1"/>
  <c r="CU2" i="1"/>
  <c r="CV2" i="1"/>
  <c r="CW2" i="1"/>
  <c r="CX2" i="1"/>
  <c r="CY2" i="1"/>
  <c r="CZ2" i="1"/>
  <c r="DA2" i="1"/>
  <c r="DB2" i="1"/>
  <c r="DC2" i="1"/>
  <c r="DD2" i="1"/>
  <c r="DE2" i="1"/>
  <c r="DF2" i="1"/>
  <c r="V2" i="1"/>
  <c r="W2" i="1"/>
  <c r="X2" i="1"/>
  <c r="Y2" i="1"/>
  <c r="Z2" i="1"/>
  <c r="AA2" i="1"/>
  <c r="AB2" i="1"/>
  <c r="AC2" i="1"/>
  <c r="U2" i="1"/>
  <c r="P2" i="1"/>
  <c r="Q2" i="1"/>
  <c r="R2" i="1"/>
  <c r="S2" i="1"/>
  <c r="L2" i="1"/>
  <c r="M2" i="1"/>
  <c r="N2" i="1"/>
  <c r="O2" i="1"/>
  <c r="H2" i="1"/>
  <c r="I2" i="1"/>
  <c r="J2" i="1"/>
  <c r="K2" i="1"/>
  <c r="D2" i="1"/>
  <c r="E2" i="1"/>
  <c r="F2" i="1"/>
  <c r="G2" i="1"/>
  <c r="C2" i="1"/>
  <c r="T2" i="1" l="1"/>
  <c r="AG2" i="1" s="1"/>
  <c r="AT2" i="1" s="1"/>
  <c r="BG2" i="1" s="1"/>
  <c r="BT2" i="1" s="1"/>
  <c r="CG2" i="1" s="1"/>
  <c r="CT2" i="1" s="1"/>
  <c r="DG2" i="1" s="1"/>
  <c r="E5" i="1"/>
  <c r="D6" i="2" l="1"/>
  <c r="C5" i="1"/>
  <c r="D5" i="1"/>
  <c r="D7" i="2" l="1"/>
  <c r="D8" i="2"/>
  <c r="B11" i="2" l="1"/>
  <c r="R8" i="1"/>
  <c r="R5" i="1" s="1"/>
  <c r="R6" i="1" s="1"/>
  <c r="Q8" i="1"/>
  <c r="Q5" i="1" s="1"/>
  <c r="Q6" i="1" s="1"/>
  <c r="P8" i="1"/>
  <c r="P5" i="1" s="1"/>
  <c r="P6" i="1" s="1"/>
  <c r="O8" i="1"/>
  <c r="O5" i="1" s="1"/>
  <c r="O6" i="1" s="1"/>
  <c r="N8" i="1"/>
  <c r="N5" i="1" s="1"/>
  <c r="N6" i="1" s="1"/>
  <c r="F8" i="1"/>
  <c r="F5" i="1" s="1"/>
  <c r="S8" i="1"/>
  <c r="S5" i="1" s="1"/>
  <c r="S6" i="1" s="1"/>
  <c r="K8" i="1"/>
  <c r="K5" i="1" s="1"/>
  <c r="K6" i="1" s="1"/>
  <c r="M8" i="1"/>
  <c r="M5" i="1" s="1"/>
  <c r="M6" i="1" s="1"/>
  <c r="H8" i="1"/>
  <c r="H5" i="1" s="1"/>
  <c r="H6" i="1" s="1"/>
  <c r="G8" i="1"/>
  <c r="G5" i="1" s="1"/>
  <c r="G6" i="1" s="1"/>
  <c r="V8" i="1" l="1"/>
  <c r="V5" i="1" s="1"/>
  <c r="V6" i="1" s="1"/>
  <c r="F6" i="1"/>
  <c r="L8" i="1"/>
  <c r="L5" i="1" s="1"/>
  <c r="L6" i="1" s="1"/>
  <c r="J8" i="1"/>
  <c r="J5" i="1" s="1"/>
  <c r="J6" i="1" s="1"/>
  <c r="I8" i="1"/>
  <c r="I5" i="1" s="1"/>
  <c r="I6" i="1" s="1"/>
  <c r="AC8" i="1"/>
  <c r="AC5" i="1" s="1"/>
  <c r="AC6" i="1" s="1"/>
  <c r="AB8" i="1"/>
  <c r="AB5" i="1" s="1"/>
  <c r="AB6" i="1" s="1"/>
  <c r="AA8" i="1"/>
  <c r="AA5" i="1" s="1"/>
  <c r="AA6" i="1" s="1"/>
  <c r="Z8" i="1"/>
  <c r="Z5" i="1" s="1"/>
  <c r="Z6" i="1" s="1"/>
  <c r="X8" i="1"/>
  <c r="X5" i="1" s="1"/>
  <c r="X6" i="1" s="1"/>
  <c r="U8" i="1"/>
  <c r="U5" i="1" s="1"/>
  <c r="U6" i="1" s="1"/>
  <c r="Y8" i="1"/>
  <c r="Y5" i="1" s="1"/>
  <c r="Y6" i="1" s="1"/>
  <c r="W8" i="1" l="1"/>
  <c r="W5" i="1" s="1"/>
  <c r="W6" i="1" s="1"/>
  <c r="T5" i="1"/>
  <c r="T6" i="1" s="1"/>
  <c r="AD8" i="1"/>
  <c r="AD5" i="1" s="1"/>
  <c r="AD6" i="1" s="1"/>
  <c r="AE8" i="1" l="1"/>
  <c r="AE5" i="1" s="1"/>
  <c r="AE6" i="1" s="1"/>
  <c r="AF8" i="1" l="1"/>
  <c r="AF5" i="1" s="1"/>
  <c r="AF6" i="1" s="1"/>
  <c r="AG5" i="1" l="1"/>
  <c r="AH8" i="1"/>
  <c r="AH5" i="1" s="1"/>
  <c r="AH6" i="1" s="1"/>
  <c r="AG6" i="1" l="1"/>
  <c r="AI8" i="1"/>
  <c r="AI5" i="1" s="1"/>
  <c r="AI6" i="1" s="1"/>
  <c r="AJ8" i="1" l="1"/>
  <c r="AJ5" i="1" s="1"/>
  <c r="AJ6" i="1" s="1"/>
  <c r="AK8" i="1" l="1"/>
  <c r="AK5" i="1" s="1"/>
  <c r="AK6" i="1" s="1"/>
  <c r="AL8" i="1" l="1"/>
  <c r="AL5" i="1" s="1"/>
  <c r="AL6" i="1" s="1"/>
  <c r="AM8" i="1" l="1"/>
  <c r="AM5" i="1" s="1"/>
  <c r="AM6" i="1" s="1"/>
  <c r="AN8" i="1" l="1"/>
  <c r="AN5" i="1" s="1"/>
  <c r="AN6" i="1" s="1"/>
  <c r="AO8" i="1" l="1"/>
  <c r="AO5" i="1" s="1"/>
  <c r="AO6" i="1" s="1"/>
  <c r="AP8" i="1" l="1"/>
  <c r="AP5" i="1" s="1"/>
  <c r="AP6" i="1" s="1"/>
  <c r="AQ8" i="1" l="1"/>
  <c r="AQ5" i="1" s="1"/>
  <c r="AQ6" i="1" s="1"/>
  <c r="AR8" i="1" l="1"/>
  <c r="AR5" i="1" s="1"/>
  <c r="AR6" i="1" s="1"/>
  <c r="AS8" i="1" l="1"/>
  <c r="AS5" i="1" s="1"/>
  <c r="AS6" i="1" l="1"/>
  <c r="AT5" i="1"/>
  <c r="AU8" i="1"/>
  <c r="AU5" i="1" s="1"/>
  <c r="AU6" i="1" s="1"/>
  <c r="AT6" i="1" l="1"/>
  <c r="AV8" i="1"/>
  <c r="AV5" i="1" s="1"/>
  <c r="AV6" i="1" s="1"/>
  <c r="AW8" i="1" l="1"/>
  <c r="AW5" i="1" s="1"/>
  <c r="AW6" i="1" s="1"/>
  <c r="AX8" i="1" l="1"/>
  <c r="AX5" i="1" s="1"/>
  <c r="AX6" i="1" s="1"/>
  <c r="AY8" i="1" l="1"/>
  <c r="AY5" i="1" s="1"/>
  <c r="AY6" i="1" s="1"/>
  <c r="AZ8" i="1" l="1"/>
  <c r="AZ5" i="1" s="1"/>
  <c r="AZ6" i="1" s="1"/>
  <c r="BA8" i="1" l="1"/>
  <c r="BA5" i="1" s="1"/>
  <c r="BA6" i="1" s="1"/>
  <c r="BB8" i="1" l="1"/>
  <c r="BB5" i="1" s="1"/>
  <c r="BB6" i="1" s="1"/>
  <c r="BC8" i="1" l="1"/>
  <c r="BC5" i="1" s="1"/>
  <c r="BC6" i="1" s="1"/>
  <c r="BD8" i="1" l="1"/>
  <c r="BD5" i="1" s="1"/>
  <c r="BD6" i="1" s="1"/>
  <c r="BE8" i="1" l="1"/>
  <c r="BE5" i="1" s="1"/>
  <c r="BE6" i="1" s="1"/>
  <c r="BF8" i="1" l="1"/>
  <c r="BF5" i="1" s="1"/>
  <c r="BF6" i="1" l="1"/>
  <c r="BG5" i="1"/>
  <c r="BH8" i="1"/>
  <c r="BH5" i="1" s="1"/>
  <c r="BH6" i="1" s="1"/>
  <c r="BG6" i="1" l="1"/>
  <c r="BI8" i="1"/>
  <c r="BI5" i="1" s="1"/>
  <c r="BI6" i="1" s="1"/>
  <c r="BJ8" i="1" l="1"/>
  <c r="BJ5" i="1" s="1"/>
  <c r="BJ6" i="1" s="1"/>
  <c r="BK8" i="1" l="1"/>
  <c r="BK5" i="1" s="1"/>
  <c r="BK6" i="1" s="1"/>
  <c r="BL8" i="1" l="1"/>
  <c r="BL5" i="1" s="1"/>
  <c r="BL6" i="1" s="1"/>
  <c r="BM8" i="1"/>
  <c r="BM5" i="1" s="1"/>
  <c r="BM6" i="1" s="1"/>
  <c r="BN8" i="1" l="1"/>
  <c r="BN5" i="1" s="1"/>
  <c r="BN6" i="1" s="1"/>
  <c r="BO8" i="1" l="1"/>
  <c r="BO5" i="1" s="1"/>
  <c r="BO6" i="1" s="1"/>
  <c r="BP8" i="1" l="1"/>
  <c r="BP5" i="1" s="1"/>
  <c r="BP6" i="1" s="1"/>
  <c r="BQ8" i="1" l="1"/>
  <c r="BQ5" i="1" s="1"/>
  <c r="BQ6" i="1" s="1"/>
  <c r="BR8" i="1" l="1"/>
  <c r="BR5" i="1" s="1"/>
  <c r="BR6" i="1" s="1"/>
  <c r="BS8" i="1" l="1"/>
  <c r="BS5" i="1" s="1"/>
  <c r="BU8" i="1"/>
  <c r="BU5" i="1" s="1"/>
  <c r="BU6" i="1" s="1"/>
  <c r="BS6" i="1" l="1"/>
  <c r="BT5" i="1"/>
  <c r="BV8" i="1"/>
  <c r="BV5" i="1" s="1"/>
  <c r="BV6" i="1" s="1"/>
  <c r="BT6" i="1" l="1"/>
  <c r="BW8" i="1" l="1"/>
  <c r="BW5" i="1" s="1"/>
  <c r="BW6" i="1" l="1"/>
  <c r="BX8" i="1"/>
  <c r="BX5" i="1" s="1"/>
  <c r="BX6" i="1" s="1"/>
  <c r="BY8" i="1" l="1"/>
  <c r="BY5" i="1" s="1"/>
  <c r="BY6" i="1" s="1"/>
  <c r="BZ8" i="1" l="1"/>
  <c r="BZ5" i="1" s="1"/>
  <c r="BZ6" i="1" s="1"/>
  <c r="CA8" i="1" l="1"/>
  <c r="CA5" i="1" s="1"/>
  <c r="CA6" i="1" s="1"/>
  <c r="CB8" i="1" l="1"/>
  <c r="CB5" i="1" s="1"/>
  <c r="CB6" i="1" s="1"/>
  <c r="CC8" i="1" l="1"/>
  <c r="CC5" i="1" s="1"/>
  <c r="CC6" i="1" s="1"/>
  <c r="CD8" i="1"/>
  <c r="CD5" i="1" s="1"/>
  <c r="CD6" i="1" s="1"/>
  <c r="CF8" i="1" l="1"/>
  <c r="CF5" i="1" s="1"/>
  <c r="CF6" i="1" l="1"/>
  <c r="CE8" i="1"/>
  <c r="CE5" i="1" s="1"/>
  <c r="CE6" i="1" s="1"/>
  <c r="CH8" i="1"/>
  <c r="CH5" i="1" s="1"/>
  <c r="CH6" i="1" s="1"/>
  <c r="CG5" i="1" l="1"/>
  <c r="CI8" i="1"/>
  <c r="CI5" i="1" s="1"/>
  <c r="CI6" i="1" s="1"/>
  <c r="CJ8" i="1" l="1"/>
  <c r="CJ5" i="1" s="1"/>
  <c r="CJ6" i="1" s="1"/>
  <c r="CG6" i="1"/>
  <c r="CK8" i="1" l="1"/>
  <c r="CK5" i="1" s="1"/>
  <c r="CK6" i="1" s="1"/>
  <c r="CL8" i="1" l="1"/>
  <c r="CL5" i="1" s="1"/>
  <c r="CL6" i="1" s="1"/>
  <c r="CM8" i="1" l="1"/>
  <c r="CM5" i="1" s="1"/>
  <c r="CM6" i="1" s="1"/>
  <c r="CN8" i="1" l="1"/>
  <c r="CN5" i="1" s="1"/>
  <c r="CN6" i="1" s="1"/>
  <c r="CO8" i="1" l="1"/>
  <c r="CO5" i="1" s="1"/>
  <c r="CO6" i="1" s="1"/>
  <c r="CP8" i="1" l="1"/>
  <c r="CP5" i="1" s="1"/>
  <c r="CP6" i="1" s="1"/>
  <c r="CQ8" i="1" l="1"/>
  <c r="CQ5" i="1" s="1"/>
  <c r="CQ6" i="1" s="1"/>
  <c r="CR8" i="1" l="1"/>
  <c r="CR5" i="1" s="1"/>
  <c r="CR6" i="1" s="1"/>
  <c r="CS8" i="1" l="1"/>
  <c r="CS5" i="1" s="1"/>
  <c r="CS6" i="1" l="1"/>
  <c r="CT5" i="1"/>
  <c r="CU8" i="1"/>
  <c r="CU5" i="1" s="1"/>
  <c r="CU6" i="1" s="1"/>
  <c r="CV8" i="1" l="1"/>
  <c r="CV5" i="1" s="1"/>
  <c r="CV6" i="1" s="1"/>
  <c r="CT6" i="1"/>
  <c r="CW8" i="1" l="1"/>
  <c r="CW5" i="1" s="1"/>
  <c r="CW6" i="1" s="1"/>
  <c r="CX8" i="1" l="1"/>
  <c r="CX5" i="1" s="1"/>
  <c r="CX6" i="1" s="1"/>
  <c r="CY8" i="1" l="1"/>
  <c r="CY5" i="1" s="1"/>
  <c r="CY6" i="1" s="1"/>
  <c r="CZ8" i="1" l="1"/>
  <c r="CZ5" i="1" s="1"/>
  <c r="CZ6" i="1" s="1"/>
  <c r="DA8" i="1" l="1"/>
  <c r="DA5" i="1" s="1"/>
  <c r="DA6" i="1" s="1"/>
  <c r="DB8" i="1" l="1"/>
  <c r="DB5" i="1" s="1"/>
  <c r="DB6" i="1" s="1"/>
  <c r="DC8" i="1" l="1"/>
  <c r="DC5" i="1" s="1"/>
  <c r="DC6" i="1" s="1"/>
  <c r="DD8" i="1" l="1"/>
  <c r="DD5" i="1" s="1"/>
  <c r="DD6" i="1" s="1"/>
  <c r="DE8" i="1" l="1"/>
  <c r="DE5" i="1" s="1"/>
  <c r="DE6" i="1" s="1"/>
  <c r="DF8" i="1"/>
  <c r="DF5" i="1" s="1"/>
  <c r="DF6" i="1" l="1"/>
  <c r="DG5" i="1"/>
  <c r="B10" i="2" l="1"/>
  <c r="DH5" i="1" s="1"/>
</calcChain>
</file>

<file path=xl/sharedStrings.xml><?xml version="1.0" encoding="utf-8"?>
<sst xmlns="http://schemas.openxmlformats.org/spreadsheetml/2006/main" count="54" uniqueCount="54">
  <si>
    <t>Item</t>
  </si>
  <si>
    <t>Descrição</t>
  </si>
  <si>
    <t>Total Acumulado Ano 1</t>
  </si>
  <si>
    <t>Total Acumulado Ano 2</t>
  </si>
  <si>
    <t>Total Acumulado Ano 3</t>
  </si>
  <si>
    <t>Total Acumulado Ano 4</t>
  </si>
  <si>
    <t>Total Acumulado Ano 5</t>
  </si>
  <si>
    <t>Total Acumulado Ano 6</t>
  </si>
  <si>
    <t>Total Acumulado Ano 7</t>
  </si>
  <si>
    <t>Total Acumulado Ano 8</t>
  </si>
  <si>
    <t>Receita total</t>
  </si>
  <si>
    <t>Resultado</t>
  </si>
  <si>
    <t>Total Custo fixo + variável</t>
  </si>
  <si>
    <t>Margem</t>
  </si>
  <si>
    <t>Unidade</t>
  </si>
  <si>
    <t>Meses de dívida até 2034</t>
  </si>
  <si>
    <t>Custo mensal</t>
  </si>
  <si>
    <t>Custo de capital até 2034</t>
  </si>
  <si>
    <t>Resultado líquido projetado consolidado</t>
  </si>
  <si>
    <t>Resultado após custo de capital</t>
  </si>
  <si>
    <t>Unidade 3 - (ago/28-dez/34)</t>
  </si>
  <si>
    <t>Unidade 4 - (jan/29-dez/34)</t>
  </si>
  <si>
    <t>Unidade 5 - (ago/29-dez/34)</t>
  </si>
  <si>
    <t>Unidade 6 - (jan/30 - dez/34)</t>
  </si>
  <si>
    <t>Unidade 7 - (ago/30 - dez/34)</t>
  </si>
  <si>
    <t>Unidade 8 - (jan/31 - dez/34)</t>
  </si>
  <si>
    <t>Total acumulado pós custo capital</t>
  </si>
  <si>
    <t>Abertura</t>
  </si>
  <si>
    <t>Data</t>
  </si>
  <si>
    <t>Investimento</t>
  </si>
  <si>
    <t>Ano 1 Resultado</t>
  </si>
  <si>
    <t>Ano 2 Resultado</t>
  </si>
  <si>
    <t>Ano 3 Resultado</t>
  </si>
  <si>
    <t>Ano 4 Resultado</t>
  </si>
  <si>
    <t>Ano 5 Resultado</t>
  </si>
  <si>
    <t>Ano 6 Resultado</t>
  </si>
  <si>
    <t>Ano 7 Resultado</t>
  </si>
  <si>
    <t>Ano 8 Resultado</t>
  </si>
  <si>
    <t>Unidade 1</t>
  </si>
  <si>
    <t>Unidade 2</t>
  </si>
  <si>
    <t>Unidade 3</t>
  </si>
  <si>
    <t>Unidade 4</t>
  </si>
  <si>
    <t>Unidade 5</t>
  </si>
  <si>
    <t>Unidade 6</t>
  </si>
  <si>
    <t>Unidade 7</t>
  </si>
  <si>
    <t>Unidade 8</t>
  </si>
  <si>
    <t>2 unidade</t>
  </si>
  <si>
    <t>3 unidade</t>
  </si>
  <si>
    <t>4 unidade</t>
  </si>
  <si>
    <t>5 unidade</t>
  </si>
  <si>
    <t>6 unidade</t>
  </si>
  <si>
    <t>7 unidade</t>
  </si>
  <si>
    <t>8 unidade</t>
  </si>
  <si>
    <t>Unidade 2 - (jan/28-dez/34)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</si>
</sst>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1"/>
      <color theme="9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4">
    <xf numFmtId="0" fontId="0" fillId="0" borderId="0" xfId="0"/>
    <xf numFmtId="17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43" fontId="4" fillId="0" borderId="0" xfId="1" applyFont="1"/>
    <xf numFmtId="43" fontId="0" fillId="0" borderId="0" xfId="0" applyNumberFormat="1"/>
    <xf numFmtId="43" fontId="4" fillId="0" borderId="0" xfId="0" applyNumberFormat="1" applyFont="1"/>
    <xf numFmtId="43" fontId="2" fillId="0" borderId="0" xfId="0" applyNumberFormat="1" applyFont="1"/>
    <xf numFmtId="0" fontId="4" fillId="0" borderId="0" xfId="0" applyFont="1"/>
    <xf numFmtId="9" fontId="4" fillId="0" borderId="0" xfId="2" applyFont="1"/>
    <xf numFmtId="43" fontId="2" fillId="0" borderId="0" xfId="1" applyFont="1"/>
    <xf numFmtId="0" fontId="9" fillId="2" borderId="2" xfId="0" applyFont="1" applyFill="1" applyBorder="1"/>
    <xf numFmtId="0" fontId="8" fillId="2" borderId="2" xfId="0" applyFont="1" applyFill="1" applyBorder="1" applyAlignment="1">
      <alignment horizontal="center"/>
    </xf>
    <xf numFmtId="0" fontId="8" fillId="2" borderId="2" xfId="0" applyFont="1" applyFill="1" applyBorder="1"/>
    <xf numFmtId="0" fontId="8" fillId="0" borderId="2" xfId="0" applyFont="1" applyBorder="1"/>
    <xf numFmtId="0" fontId="10" fillId="2" borderId="2" xfId="0" applyFont="1" applyFill="1" applyBorder="1"/>
    <xf numFmtId="0" fontId="10" fillId="2" borderId="2" xfId="0" applyFont="1" applyFill="1" applyBorder="1" applyAlignment="1">
      <alignment horizontal="center" vertical="center"/>
    </xf>
    <xf numFmtId="44" fontId="10" fillId="2" borderId="2" xfId="0" applyNumberFormat="1" applyFont="1" applyFill="1" applyBorder="1"/>
    <xf numFmtId="44" fontId="10" fillId="0" borderId="2" xfId="0" applyNumberFormat="1" applyFont="1" applyBorder="1"/>
    <xf numFmtId="44" fontId="10" fillId="2" borderId="2" xfId="3" applyFont="1" applyFill="1" applyBorder="1"/>
    <xf numFmtId="0" fontId="11" fillId="2" borderId="2" xfId="0" applyFont="1" applyFill="1" applyBorder="1"/>
    <xf numFmtId="43" fontId="11" fillId="0" borderId="2" xfId="0" applyNumberFormat="1" applyFont="1" applyBorder="1"/>
    <xf numFmtId="0" fontId="12" fillId="2" borderId="2" xfId="0" applyFont="1" applyFill="1" applyBorder="1"/>
    <xf numFmtId="43" fontId="12" fillId="0" borderId="2" xfId="0" applyNumberFormat="1" applyFont="1" applyBorder="1"/>
    <xf numFmtId="0" fontId="2" fillId="0" borderId="0" xfId="0" applyFont="1" applyAlignment="1">
      <alignment vertical="top" wrapText="1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17" fontId="0" fillId="0" borderId="2" xfId="0" applyNumberFormat="1" applyBorder="1"/>
    <xf numFmtId="43" fontId="0" fillId="0" borderId="2" xfId="1" applyFont="1" applyBorder="1"/>
    <xf numFmtId="43" fontId="0" fillId="0" borderId="2" xfId="0" applyNumberFormat="1" applyBorder="1"/>
    <xf numFmtId="0" fontId="0" fillId="0" borderId="2" xfId="0" applyBorder="1"/>
    <xf numFmtId="0" fontId="0" fillId="0" borderId="7" xfId="0" applyBorder="1"/>
    <xf numFmtId="0" fontId="0" fillId="3" borderId="6" xfId="0" applyFill="1" applyBorder="1"/>
    <xf numFmtId="17" fontId="0" fillId="3" borderId="2" xfId="0" applyNumberFormat="1" applyFill="1" applyBorder="1"/>
    <xf numFmtId="43" fontId="0" fillId="3" borderId="2" xfId="1" applyFont="1" applyFill="1" applyBorder="1"/>
    <xf numFmtId="43" fontId="0" fillId="3" borderId="2" xfId="0" applyNumberFormat="1" applyFill="1" applyBorder="1"/>
    <xf numFmtId="9" fontId="0" fillId="0" borderId="2" xfId="0" applyNumberFormat="1" applyBorder="1"/>
    <xf numFmtId="43" fontId="0" fillId="0" borderId="7" xfId="0" applyNumberFormat="1" applyBorder="1"/>
    <xf numFmtId="43" fontId="0" fillId="3" borderId="7" xfId="0" applyNumberFormat="1" applyFill="1" applyBorder="1"/>
    <xf numFmtId="0" fontId="0" fillId="0" borderId="8" xfId="0" applyBorder="1"/>
    <xf numFmtId="0" fontId="0" fillId="0" borderId="9" xfId="0" applyBorder="1"/>
    <xf numFmtId="43" fontId="0" fillId="0" borderId="9" xfId="1" applyFont="1" applyBorder="1"/>
    <xf numFmtId="0" fontId="0" fillId="0" borderId="10" xfId="0" applyBorder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9" fontId="0" fillId="0" borderId="0" xfId="2" applyFont="1" applyBorder="1"/>
    <xf numFmtId="0" fontId="0" fillId="4" borderId="0" xfId="0" applyFill="1"/>
  </cellXfs>
  <cellStyles count="4">
    <cellStyle name="Moeda" xfId="3" builtinId="4"/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bricio/Desktop/CoWorkout/Vers&#227;o%2015%20(abertura%20semestral%20p&#243;s%20valid.)/Vers&#245;es%2015%20-%20Unid.%20e%20Cons.%20(Alavancagem)/Unidades%20(Alav.)/Or&#231;amento%2015.0%20-%20Unidade%20Laborat&#243;r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bricio/Desktop/CoWorkout/Vers&#245;es%2015%20-%20Unidades%20e%20consolidados/Unidades/Or&#231;amento%2015.0%20-%20Segunda%20unidad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bricio/Desktop/CoWorkout/Vers&#245;es%2015%20-%20Unid.%20e%20Cons.%20(Alavancagem)/Unidades%20(Alav.)/Or&#231;amento%2015.0%20-%20Terceira%20unidad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bricio/Desktop/CoWorkout/Vers&#245;es%2015%20-%20Unidades%20e%20consolidados/Unidades/Or&#231;amento%2015.0%20-%20Quarta%20unidad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bricio/Desktop/CoWorkout/Vers&#245;es%2015%20-%20Unid.%20e%20Cons.%20(Alavancagem)/Unidades%20(Alav.)/Or&#231;amento%2015.0%20-%20Quinta%20unidad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bricio/Desktop/CoWorkout/Vers&#245;es%2015%20-%20Unidades%20e%20consolidados/Unidades/Or&#231;amento%2015.0%20-%20Sexta%20unidad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bricio/Desktop/CoWorkout/Vers&#245;es%2015%20-%20Unid.%20e%20Cons.%20(Alavancagem)/Unidades%20(Alav.)/Or&#231;amento%2015.0%20-%20S&#233;tima%20unidad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bricio/Desktop/CoWorkout/Vers&#245;es%2015%20-%20Unid.%20e%20Cons.%20(Alavancagem)/Unidades%20(Alav.)/Or&#231;amento%2015.0%20-%20Oitava%20unidade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bricio/Desktop/CoWorkout/Vers&#227;o%2015%20(abertura%20semestral%20p&#243;s%20valid.)/Vers&#245;es%2015%20-%20Unid.%20e%20Cons;%20(CAPEX%20puro)/Unidades/Or&#231;amento%2015.0%20-%20Unidade%20Laborat&#243;r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çamento"/>
      <sheetName val="Custo investimento Lab"/>
      <sheetName val="Financiamento"/>
      <sheetName val="Água e luz"/>
      <sheetName val="Cálcul. trabalhado"/>
      <sheetName val="Cálculo kit higiene"/>
      <sheetName val="Equipe"/>
      <sheetName val="Orçamento máquinas"/>
      <sheetName val="Cronog. de Ativ. "/>
      <sheetName val="Cálcul. para definição benefic"/>
      <sheetName val="Fórmulas fee para split"/>
      <sheetName val="Benefícios Personal"/>
      <sheetName val="Benefícios aluno"/>
      <sheetName val="Manifesto"/>
      <sheetName val="Concorrentes"/>
      <sheetName val="Local"/>
      <sheetName val="Sistema"/>
    </sheetNames>
    <sheetDataSet>
      <sheetData sheetId="0">
        <row r="1">
          <cell r="C1">
            <v>46235</v>
          </cell>
          <cell r="D1">
            <v>46266</v>
          </cell>
          <cell r="E1">
            <v>46296</v>
          </cell>
          <cell r="F1">
            <v>46327</v>
          </cell>
          <cell r="G1">
            <v>46357</v>
          </cell>
          <cell r="H1">
            <v>46388</v>
          </cell>
          <cell r="I1">
            <v>46419</v>
          </cell>
          <cell r="J1">
            <v>46447</v>
          </cell>
          <cell r="K1">
            <v>46478</v>
          </cell>
          <cell r="L1">
            <v>46508</v>
          </cell>
          <cell r="M1">
            <v>46539</v>
          </cell>
          <cell r="N1">
            <v>46569</v>
          </cell>
          <cell r="O1">
            <v>46600</v>
          </cell>
          <cell r="P1">
            <v>46631</v>
          </cell>
          <cell r="Q1">
            <v>46661</v>
          </cell>
          <cell r="R1">
            <v>46692</v>
          </cell>
          <cell r="S1">
            <v>46722</v>
          </cell>
          <cell r="T1" t="str">
            <v>Total Acumulado Ano 1</v>
          </cell>
          <cell r="U1">
            <v>46753</v>
          </cell>
          <cell r="V1">
            <v>46784</v>
          </cell>
          <cell r="W1">
            <v>46813</v>
          </cell>
          <cell r="X1">
            <v>46844</v>
          </cell>
          <cell r="Y1">
            <v>46874</v>
          </cell>
          <cell r="Z1">
            <v>46905</v>
          </cell>
          <cell r="AA1">
            <v>46935</v>
          </cell>
          <cell r="AB1">
            <v>46966</v>
          </cell>
          <cell r="AC1">
            <v>46997</v>
          </cell>
          <cell r="AD1">
            <v>47027</v>
          </cell>
          <cell r="AE1">
            <v>47058</v>
          </cell>
          <cell r="AF1">
            <v>47088</v>
          </cell>
          <cell r="AG1" t="str">
            <v>Total Acumulado Ano 2</v>
          </cell>
          <cell r="AH1">
            <v>47119</v>
          </cell>
          <cell r="AI1">
            <v>47150</v>
          </cell>
          <cell r="AJ1">
            <v>47178</v>
          </cell>
          <cell r="AK1">
            <v>47209</v>
          </cell>
          <cell r="AL1">
            <v>47239</v>
          </cell>
          <cell r="AM1">
            <v>47270</v>
          </cell>
          <cell r="AN1">
            <v>47300</v>
          </cell>
          <cell r="AO1">
            <v>47331</v>
          </cell>
          <cell r="AP1">
            <v>47362</v>
          </cell>
          <cell r="AQ1">
            <v>47392</v>
          </cell>
          <cell r="AR1">
            <v>47423</v>
          </cell>
          <cell r="AS1">
            <v>47453</v>
          </cell>
          <cell r="AT1" t="str">
            <v>Total Acumulado Ano 3</v>
          </cell>
          <cell r="AU1">
            <v>47484</v>
          </cell>
          <cell r="AV1">
            <v>47515</v>
          </cell>
          <cell r="AW1">
            <v>47543</v>
          </cell>
          <cell r="AX1">
            <v>47574</v>
          </cell>
          <cell r="AY1">
            <v>47604</v>
          </cell>
          <cell r="AZ1">
            <v>47635</v>
          </cell>
          <cell r="BA1">
            <v>47665</v>
          </cell>
          <cell r="BB1">
            <v>47696</v>
          </cell>
          <cell r="BC1">
            <v>47727</v>
          </cell>
          <cell r="BD1">
            <v>47757</v>
          </cell>
          <cell r="BE1">
            <v>47788</v>
          </cell>
          <cell r="BF1">
            <v>47818</v>
          </cell>
          <cell r="BG1" t="str">
            <v>Total Acumulado Ano 4</v>
          </cell>
          <cell r="BH1">
            <v>47849</v>
          </cell>
          <cell r="BI1">
            <v>47880</v>
          </cell>
          <cell r="BJ1">
            <v>47908</v>
          </cell>
          <cell r="BK1">
            <v>47939</v>
          </cell>
          <cell r="BL1">
            <v>47969</v>
          </cell>
          <cell r="BM1">
            <v>48000</v>
          </cell>
          <cell r="BN1">
            <v>48030</v>
          </cell>
          <cell r="BO1">
            <v>48061</v>
          </cell>
          <cell r="BP1">
            <v>48092</v>
          </cell>
          <cell r="BQ1">
            <v>48122</v>
          </cell>
          <cell r="BR1">
            <v>48153</v>
          </cell>
          <cell r="BS1">
            <v>48183</v>
          </cell>
          <cell r="BT1" t="str">
            <v>Total Acumulado Ano 5</v>
          </cell>
          <cell r="BU1">
            <v>48214</v>
          </cell>
          <cell r="BV1">
            <v>48245</v>
          </cell>
          <cell r="BW1">
            <v>48274</v>
          </cell>
          <cell r="BX1">
            <v>48305</v>
          </cell>
          <cell r="BY1">
            <v>48335</v>
          </cell>
          <cell r="BZ1">
            <v>48366</v>
          </cell>
          <cell r="CA1">
            <v>48396</v>
          </cell>
          <cell r="CB1">
            <v>48427</v>
          </cell>
          <cell r="CC1">
            <v>48458</v>
          </cell>
          <cell r="CD1">
            <v>48488</v>
          </cell>
          <cell r="CE1">
            <v>48519</v>
          </cell>
          <cell r="CF1">
            <v>48549</v>
          </cell>
          <cell r="CG1" t="str">
            <v>Total Acumulado Ano 6</v>
          </cell>
          <cell r="CH1">
            <v>48580</v>
          </cell>
          <cell r="CI1">
            <v>48611</v>
          </cell>
          <cell r="CJ1">
            <v>48639</v>
          </cell>
          <cell r="CK1">
            <v>48670</v>
          </cell>
          <cell r="CL1">
            <v>48700</v>
          </cell>
          <cell r="CM1">
            <v>48731</v>
          </cell>
          <cell r="CN1">
            <v>48761</v>
          </cell>
          <cell r="CO1">
            <v>48792</v>
          </cell>
          <cell r="CP1">
            <v>48823</v>
          </cell>
          <cell r="CQ1">
            <v>48853</v>
          </cell>
          <cell r="CR1">
            <v>48884</v>
          </cell>
          <cell r="CS1">
            <v>48914</v>
          </cell>
          <cell r="CT1" t="str">
            <v>Total Acumulado Ano 7</v>
          </cell>
          <cell r="CU1">
            <v>48945</v>
          </cell>
          <cell r="CV1">
            <v>48976</v>
          </cell>
          <cell r="CW1">
            <v>49004</v>
          </cell>
          <cell r="CX1">
            <v>49035</v>
          </cell>
          <cell r="CY1">
            <v>49065</v>
          </cell>
          <cell r="CZ1">
            <v>49096</v>
          </cell>
          <cell r="DA1">
            <v>49126</v>
          </cell>
          <cell r="DB1">
            <v>49157</v>
          </cell>
          <cell r="DC1">
            <v>49188</v>
          </cell>
          <cell r="DD1">
            <v>49218</v>
          </cell>
          <cell r="DE1">
            <v>49249</v>
          </cell>
          <cell r="DF1">
            <v>49279</v>
          </cell>
          <cell r="DG1" t="str">
            <v>Total Acumulado Ano 8</v>
          </cell>
        </row>
        <row r="2">
          <cell r="C2">
            <v>0</v>
          </cell>
          <cell r="D2">
            <v>0</v>
          </cell>
          <cell r="E2">
            <v>0</v>
          </cell>
          <cell r="F2">
            <v>2453.8125</v>
          </cell>
          <cell r="G2">
            <v>4907.625</v>
          </cell>
          <cell r="H2">
            <v>26432.749999999996</v>
          </cell>
          <cell r="I2">
            <v>26432.749999999996</v>
          </cell>
          <cell r="J2">
            <v>26432.749999999996</v>
          </cell>
          <cell r="K2">
            <v>26432.749999999996</v>
          </cell>
          <cell r="L2">
            <v>26432.749999999996</v>
          </cell>
          <cell r="M2">
            <v>26432.749999999996</v>
          </cell>
          <cell r="N2">
            <v>26432.749999999996</v>
          </cell>
          <cell r="O2">
            <v>26432.749999999996</v>
          </cell>
          <cell r="P2">
            <v>26432.749999999996</v>
          </cell>
          <cell r="Q2">
            <v>26432.749999999996</v>
          </cell>
          <cell r="R2">
            <v>26432.749999999996</v>
          </cell>
          <cell r="S2">
            <v>26432.749999999996</v>
          </cell>
          <cell r="T2">
            <v>324554.4375</v>
          </cell>
          <cell r="U2">
            <v>55271.874999999993</v>
          </cell>
          <cell r="V2">
            <v>55271.874999999993</v>
          </cell>
          <cell r="W2">
            <v>55271.874999999993</v>
          </cell>
          <cell r="X2">
            <v>55271.874999999993</v>
          </cell>
          <cell r="Y2">
            <v>55271.874999999993</v>
          </cell>
          <cell r="Z2">
            <v>55271.874999999993</v>
          </cell>
          <cell r="AA2">
            <v>55271.874999999993</v>
          </cell>
          <cell r="AB2">
            <v>55271.874999999993</v>
          </cell>
          <cell r="AC2">
            <v>55271.874999999993</v>
          </cell>
          <cell r="AD2">
            <v>55271.874999999993</v>
          </cell>
          <cell r="AE2">
            <v>55271.874999999993</v>
          </cell>
          <cell r="AF2">
            <v>55271.874999999993</v>
          </cell>
          <cell r="AG2">
            <v>987816.9375</v>
          </cell>
          <cell r="AH2">
            <v>88435</v>
          </cell>
          <cell r="AI2">
            <v>88435</v>
          </cell>
          <cell r="AJ2">
            <v>88435</v>
          </cell>
          <cell r="AK2">
            <v>88435</v>
          </cell>
          <cell r="AL2">
            <v>88435</v>
          </cell>
          <cell r="AM2">
            <v>88435</v>
          </cell>
          <cell r="AN2">
            <v>88435</v>
          </cell>
          <cell r="AO2">
            <v>88435</v>
          </cell>
          <cell r="AP2">
            <v>88435</v>
          </cell>
          <cell r="AQ2">
            <v>88435</v>
          </cell>
          <cell r="AR2">
            <v>88435</v>
          </cell>
          <cell r="AS2">
            <v>88435</v>
          </cell>
          <cell r="AT2">
            <v>2049036.9375</v>
          </cell>
          <cell r="AU2">
            <v>110543.74999999999</v>
          </cell>
          <cell r="AV2">
            <v>110543.74999999999</v>
          </cell>
          <cell r="AW2">
            <v>110543.74999999999</v>
          </cell>
          <cell r="AX2">
            <v>110543.74999999999</v>
          </cell>
          <cell r="AY2">
            <v>110543.74999999999</v>
          </cell>
          <cell r="AZ2">
            <v>110543.74999999999</v>
          </cell>
          <cell r="BA2">
            <v>110543.74999999999</v>
          </cell>
          <cell r="BB2">
            <v>110543.74999999999</v>
          </cell>
          <cell r="BC2">
            <v>110543.74999999999</v>
          </cell>
          <cell r="BD2">
            <v>110543.74999999999</v>
          </cell>
          <cell r="BE2">
            <v>110543.74999999999</v>
          </cell>
          <cell r="BF2">
            <v>110543.74999999999</v>
          </cell>
          <cell r="BG2">
            <v>3375561.9375</v>
          </cell>
          <cell r="BH2">
            <v>132652.49999999997</v>
          </cell>
          <cell r="BI2">
            <v>132652.49999999997</v>
          </cell>
          <cell r="BJ2">
            <v>132652.49999999997</v>
          </cell>
          <cell r="BK2">
            <v>132652.49999999997</v>
          </cell>
          <cell r="BL2">
            <v>132652.49999999997</v>
          </cell>
          <cell r="BM2">
            <v>132652.49999999997</v>
          </cell>
          <cell r="BN2">
            <v>132652.49999999997</v>
          </cell>
          <cell r="BO2">
            <v>132652.49999999997</v>
          </cell>
          <cell r="BP2">
            <v>132652.49999999997</v>
          </cell>
          <cell r="BQ2">
            <v>132652.49999999997</v>
          </cell>
          <cell r="BR2">
            <v>132652.49999999997</v>
          </cell>
          <cell r="BS2">
            <v>132652.49999999997</v>
          </cell>
          <cell r="BT2">
            <v>4967391.9375</v>
          </cell>
          <cell r="BU2">
            <v>154761.24999999997</v>
          </cell>
          <cell r="BV2">
            <v>154761.24999999997</v>
          </cell>
          <cell r="BW2">
            <v>154761.24999999997</v>
          </cell>
          <cell r="BX2">
            <v>154761.24999999997</v>
          </cell>
          <cell r="BY2">
            <v>154761.24999999997</v>
          </cell>
          <cell r="BZ2">
            <v>154761.24999999997</v>
          </cell>
          <cell r="CA2">
            <v>154761.24999999997</v>
          </cell>
          <cell r="CB2">
            <v>154761.24999999997</v>
          </cell>
          <cell r="CC2">
            <v>154761.24999999997</v>
          </cell>
          <cell r="CD2">
            <v>154761.24999999997</v>
          </cell>
          <cell r="CE2">
            <v>154761.24999999997</v>
          </cell>
          <cell r="CF2">
            <v>154761.24999999997</v>
          </cell>
          <cell r="CG2">
            <v>6824526.9375</v>
          </cell>
          <cell r="CH2">
            <v>154761.24999999997</v>
          </cell>
          <cell r="CI2">
            <v>154761.24999999997</v>
          </cell>
          <cell r="CJ2">
            <v>154761.24999999997</v>
          </cell>
          <cell r="CK2">
            <v>154761.24999999997</v>
          </cell>
          <cell r="CL2">
            <v>154761.24999999997</v>
          </cell>
          <cell r="CM2">
            <v>154761.24999999997</v>
          </cell>
          <cell r="CN2">
            <v>154761.24999999997</v>
          </cell>
          <cell r="CO2">
            <v>154761.24999999997</v>
          </cell>
          <cell r="CP2">
            <v>154761.24999999997</v>
          </cell>
          <cell r="CQ2">
            <v>154761.24999999997</v>
          </cell>
          <cell r="CR2">
            <v>154761.24999999997</v>
          </cell>
          <cell r="CS2">
            <v>154761.24999999997</v>
          </cell>
          <cell r="CT2">
            <v>8681661.9375</v>
          </cell>
          <cell r="CU2">
            <v>165815.62499999997</v>
          </cell>
          <cell r="CV2">
            <v>165815.62499999997</v>
          </cell>
          <cell r="CW2">
            <v>165815.62499999997</v>
          </cell>
          <cell r="CX2">
            <v>165815.62499999997</v>
          </cell>
          <cell r="CY2">
            <v>165815.62499999997</v>
          </cell>
          <cell r="CZ2">
            <v>165815.62499999997</v>
          </cell>
          <cell r="DA2">
            <v>165815.62499999997</v>
          </cell>
          <cell r="DB2">
            <v>165815.62499999997</v>
          </cell>
          <cell r="DC2">
            <v>165815.62499999997</v>
          </cell>
          <cell r="DD2">
            <v>165815.62499999997</v>
          </cell>
          <cell r="DE2">
            <v>165815.62499999997</v>
          </cell>
          <cell r="DF2">
            <v>165815.62499999997</v>
          </cell>
          <cell r="DG2">
            <v>10671449.4375</v>
          </cell>
        </row>
        <row r="8">
          <cell r="C8">
            <v>19000</v>
          </cell>
          <cell r="D8">
            <v>56530.25</v>
          </cell>
          <cell r="E8">
            <v>21480</v>
          </cell>
          <cell r="F8">
            <v>44368.795624999999</v>
          </cell>
          <cell r="G8">
            <v>44516.024375000001</v>
          </cell>
          <cell r="H8">
            <v>46649.311249999999</v>
          </cell>
          <cell r="I8">
            <v>46649.311249999999</v>
          </cell>
          <cell r="J8">
            <v>46649.311249999999</v>
          </cell>
          <cell r="K8">
            <v>46649.311249999999</v>
          </cell>
          <cell r="L8">
            <v>46949.311249999999</v>
          </cell>
          <cell r="M8">
            <v>46949.311249999999</v>
          </cell>
          <cell r="N8">
            <v>46949.311249999999</v>
          </cell>
          <cell r="O8">
            <v>46949.311249999999</v>
          </cell>
          <cell r="P8">
            <v>46949.311249999999</v>
          </cell>
          <cell r="Q8">
            <v>46949.311249999999</v>
          </cell>
          <cell r="R8">
            <v>46949.311249999999</v>
          </cell>
          <cell r="S8">
            <v>46949.311249999999</v>
          </cell>
          <cell r="U8">
            <v>53801.528125000004</v>
          </cell>
          <cell r="V8">
            <v>53801.528125000004</v>
          </cell>
          <cell r="W8">
            <v>59511.112812500003</v>
          </cell>
          <cell r="X8">
            <v>59511.112812500003</v>
          </cell>
          <cell r="Y8">
            <v>59511.112812500003</v>
          </cell>
          <cell r="Z8">
            <v>59511.112812500003</v>
          </cell>
          <cell r="AA8">
            <v>59511.112812500003</v>
          </cell>
          <cell r="AB8">
            <v>59511.112812500003</v>
          </cell>
          <cell r="AC8">
            <v>59511.112812500003</v>
          </cell>
          <cell r="AD8">
            <v>59511.112812500003</v>
          </cell>
          <cell r="AE8">
            <v>59511.112812500003</v>
          </cell>
          <cell r="AF8">
            <v>59511.112812500003</v>
          </cell>
          <cell r="AH8">
            <v>71144.890500000009</v>
          </cell>
          <cell r="AI8">
            <v>71144.890500000009</v>
          </cell>
          <cell r="AJ8">
            <v>71144.890500000009</v>
          </cell>
          <cell r="AK8">
            <v>71144.890500000009</v>
          </cell>
          <cell r="AL8">
            <v>71144.890500000009</v>
          </cell>
          <cell r="AM8">
            <v>71144.890500000009</v>
          </cell>
          <cell r="AN8">
            <v>71144.890500000009</v>
          </cell>
          <cell r="AO8">
            <v>71144.890500000009</v>
          </cell>
          <cell r="AP8">
            <v>71144.890500000009</v>
          </cell>
          <cell r="AQ8">
            <v>71144.890500000009</v>
          </cell>
          <cell r="AR8">
            <v>71144.890500000009</v>
          </cell>
          <cell r="AS8">
            <v>71144.890500000009</v>
          </cell>
          <cell r="AU8">
            <v>80250.818625000014</v>
          </cell>
          <cell r="AV8">
            <v>80250.818625000014</v>
          </cell>
          <cell r="AW8">
            <v>80250.818625000014</v>
          </cell>
          <cell r="AX8">
            <v>80250.818625000014</v>
          </cell>
          <cell r="AY8">
            <v>80250.818625000014</v>
          </cell>
          <cell r="AZ8">
            <v>80250.818625000014</v>
          </cell>
          <cell r="BA8">
            <v>80250.818625000014</v>
          </cell>
          <cell r="BB8">
            <v>80250.818625000014</v>
          </cell>
          <cell r="BC8">
            <v>80250.818625000014</v>
          </cell>
          <cell r="BD8">
            <v>80250.818625000014</v>
          </cell>
          <cell r="BE8">
            <v>80250.818625000014</v>
          </cell>
          <cell r="BF8">
            <v>80250.818625000014</v>
          </cell>
          <cell r="BH8">
            <v>90866.286650000009</v>
          </cell>
          <cell r="BI8">
            <v>90866.286650000009</v>
          </cell>
          <cell r="BJ8">
            <v>90866.286650000009</v>
          </cell>
          <cell r="BK8">
            <v>90866.286650000009</v>
          </cell>
          <cell r="BL8">
            <v>90866.286650000009</v>
          </cell>
          <cell r="BM8">
            <v>90866.286650000009</v>
          </cell>
          <cell r="BN8">
            <v>90866.286650000009</v>
          </cell>
          <cell r="BO8">
            <v>90866.286650000009</v>
          </cell>
          <cell r="BP8">
            <v>90866.286650000009</v>
          </cell>
          <cell r="BQ8">
            <v>90866.286650000009</v>
          </cell>
          <cell r="BR8">
            <v>90866.286650000009</v>
          </cell>
          <cell r="BS8">
            <v>90866.286650000009</v>
          </cell>
          <cell r="BU8">
            <v>100286.93940500001</v>
          </cell>
          <cell r="BV8">
            <v>100286.93940500001</v>
          </cell>
          <cell r="BW8">
            <v>100286.93940500001</v>
          </cell>
          <cell r="BX8">
            <v>100286.93940500001</v>
          </cell>
          <cell r="BY8">
            <v>100286.93940500001</v>
          </cell>
          <cell r="BZ8">
            <v>100286.93940500001</v>
          </cell>
          <cell r="CA8">
            <v>100286.93940500001</v>
          </cell>
          <cell r="CB8">
            <v>100286.93940500001</v>
          </cell>
          <cell r="CC8">
            <v>100286.93940500001</v>
          </cell>
          <cell r="CD8">
            <v>100286.93940500001</v>
          </cell>
          <cell r="CE8">
            <v>100286.93940500001</v>
          </cell>
          <cell r="CF8">
            <v>100286.93940500001</v>
          </cell>
          <cell r="CH8">
            <v>105751.16275800002</v>
          </cell>
          <cell r="CI8">
            <v>105751.16275800002</v>
          </cell>
          <cell r="CJ8">
            <v>105751.16275800002</v>
          </cell>
          <cell r="CK8">
            <v>105751.16275800002</v>
          </cell>
          <cell r="CL8">
            <v>105751.16275800002</v>
          </cell>
          <cell r="CM8">
            <v>105751.16275800002</v>
          </cell>
          <cell r="CN8">
            <v>105751.16275800002</v>
          </cell>
          <cell r="CO8">
            <v>105751.16275800002</v>
          </cell>
          <cell r="CP8">
            <v>105751.16275800002</v>
          </cell>
          <cell r="CQ8">
            <v>105751.16275800002</v>
          </cell>
          <cell r="CR8">
            <v>105751.16275800002</v>
          </cell>
          <cell r="CS8">
            <v>105751.16275800002</v>
          </cell>
          <cell r="CU8">
            <v>114133.09100880002</v>
          </cell>
          <cell r="CV8">
            <v>114133.09100880002</v>
          </cell>
          <cell r="CW8">
            <v>114133.09100880002</v>
          </cell>
          <cell r="CX8">
            <v>114133.09100880002</v>
          </cell>
          <cell r="CY8">
            <v>114133.09100880002</v>
          </cell>
          <cell r="CZ8">
            <v>114133.09100880002</v>
          </cell>
          <cell r="DA8">
            <v>114133.09100880002</v>
          </cell>
          <cell r="DB8">
            <v>114133.09100880002</v>
          </cell>
          <cell r="DC8">
            <v>114133.09100880002</v>
          </cell>
          <cell r="DD8">
            <v>114133.09100880002</v>
          </cell>
          <cell r="DE8">
            <v>114133.09100880002</v>
          </cell>
          <cell r="DF8">
            <v>114133.09100880002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çamento"/>
      <sheetName val="Custo investimento "/>
      <sheetName val="Financiamento"/>
      <sheetName val="Água e luz"/>
      <sheetName val="Cálcul. trabalhado"/>
      <sheetName val="Cálculo kit higiene"/>
      <sheetName val="Equipe"/>
      <sheetName val="Orçamento máquinas"/>
      <sheetName val="Cronograma de ativ."/>
      <sheetName val="Cálcul. para definição benefic"/>
      <sheetName val="Fórmulas fee para split"/>
      <sheetName val="Benefícios Personal"/>
      <sheetName val="Benefícios aluno"/>
      <sheetName val="Manifesto"/>
      <sheetName val="Concorrentes"/>
      <sheetName val="Local"/>
      <sheetName val="Sistema"/>
    </sheetNames>
    <sheetDataSet>
      <sheetData sheetId="0">
        <row r="1">
          <cell r="C1">
            <v>46753</v>
          </cell>
          <cell r="D1">
            <v>46784</v>
          </cell>
          <cell r="E1">
            <v>46813</v>
          </cell>
          <cell r="F1">
            <v>46844</v>
          </cell>
          <cell r="G1">
            <v>46874</v>
          </cell>
          <cell r="H1">
            <v>46905</v>
          </cell>
          <cell r="I1">
            <v>46935</v>
          </cell>
          <cell r="J1">
            <v>46966</v>
          </cell>
          <cell r="K1">
            <v>46997</v>
          </cell>
          <cell r="L1">
            <v>47027</v>
          </cell>
          <cell r="M1">
            <v>47058</v>
          </cell>
          <cell r="N1">
            <v>47088</v>
          </cell>
          <cell r="T1" t="str">
            <v>Total Acumulado Ano 1</v>
          </cell>
          <cell r="U1">
            <v>47119</v>
          </cell>
          <cell r="V1">
            <v>47150</v>
          </cell>
          <cell r="W1">
            <v>47178</v>
          </cell>
          <cell r="X1">
            <v>47209</v>
          </cell>
          <cell r="Y1">
            <v>47239</v>
          </cell>
          <cell r="Z1">
            <v>47270</v>
          </cell>
          <cell r="AA1">
            <v>47300</v>
          </cell>
          <cell r="AB1">
            <v>47331</v>
          </cell>
          <cell r="AC1">
            <v>47362</v>
          </cell>
          <cell r="AD1">
            <v>47392</v>
          </cell>
          <cell r="AE1">
            <v>47423</v>
          </cell>
          <cell r="AF1">
            <v>47453</v>
          </cell>
          <cell r="AG1" t="str">
            <v>Total Acumulado Ano 2</v>
          </cell>
          <cell r="AH1">
            <v>47484</v>
          </cell>
          <cell r="AI1">
            <v>47515</v>
          </cell>
          <cell r="AJ1">
            <v>47543</v>
          </cell>
          <cell r="AK1">
            <v>47574</v>
          </cell>
          <cell r="AL1">
            <v>47604</v>
          </cell>
          <cell r="AM1">
            <v>47635</v>
          </cell>
          <cell r="AN1">
            <v>47665</v>
          </cell>
          <cell r="AO1">
            <v>47696</v>
          </cell>
          <cell r="AP1">
            <v>47727</v>
          </cell>
          <cell r="AQ1">
            <v>47757</v>
          </cell>
          <cell r="AR1">
            <v>47788</v>
          </cell>
          <cell r="AS1">
            <v>47818</v>
          </cell>
          <cell r="AT1" t="str">
            <v>Total Acumulado Ano 3</v>
          </cell>
          <cell r="AU1">
            <v>47849</v>
          </cell>
          <cell r="AV1">
            <v>47880</v>
          </cell>
          <cell r="AW1">
            <v>47908</v>
          </cell>
          <cell r="AX1">
            <v>47939</v>
          </cell>
          <cell r="AY1">
            <v>47969</v>
          </cell>
          <cell r="AZ1">
            <v>48000</v>
          </cell>
          <cell r="BA1">
            <v>48030</v>
          </cell>
          <cell r="BB1">
            <v>48061</v>
          </cell>
          <cell r="BC1">
            <v>48092</v>
          </cell>
          <cell r="BD1">
            <v>48122</v>
          </cell>
          <cell r="BE1">
            <v>48153</v>
          </cell>
          <cell r="BF1">
            <v>48183</v>
          </cell>
          <cell r="BG1" t="str">
            <v>Total Acumulado Ano 4</v>
          </cell>
          <cell r="BH1">
            <v>48214</v>
          </cell>
          <cell r="BI1">
            <v>48245</v>
          </cell>
          <cell r="BJ1">
            <v>48274</v>
          </cell>
          <cell r="BK1">
            <v>48305</v>
          </cell>
          <cell r="BL1">
            <v>48335</v>
          </cell>
          <cell r="BM1">
            <v>48366</v>
          </cell>
          <cell r="BN1">
            <v>48396</v>
          </cell>
          <cell r="BO1">
            <v>48427</v>
          </cell>
          <cell r="BP1">
            <v>48458</v>
          </cell>
          <cell r="BQ1">
            <v>48488</v>
          </cell>
          <cell r="BR1">
            <v>48519</v>
          </cell>
          <cell r="BS1">
            <v>48549</v>
          </cell>
          <cell r="BT1" t="str">
            <v>Total Acumulado Ano 5</v>
          </cell>
          <cell r="BU1">
            <v>48580</v>
          </cell>
          <cell r="BV1">
            <v>48611</v>
          </cell>
          <cell r="BW1">
            <v>48639</v>
          </cell>
          <cell r="BX1">
            <v>48670</v>
          </cell>
          <cell r="BY1">
            <v>48700</v>
          </cell>
          <cell r="BZ1">
            <v>48731</v>
          </cell>
          <cell r="CA1">
            <v>48761</v>
          </cell>
          <cell r="CB1">
            <v>48792</v>
          </cell>
          <cell r="CC1">
            <v>48823</v>
          </cell>
          <cell r="CD1">
            <v>48853</v>
          </cell>
          <cell r="CE1">
            <v>48884</v>
          </cell>
          <cell r="CF1">
            <v>48914</v>
          </cell>
          <cell r="CG1" t="str">
            <v>Total Acumulado Ano 6</v>
          </cell>
        </row>
        <row r="2">
          <cell r="C2">
            <v>0</v>
          </cell>
          <cell r="D2">
            <v>0</v>
          </cell>
          <cell r="E2">
            <v>0</v>
          </cell>
          <cell r="F2">
            <v>2453.8125</v>
          </cell>
          <cell r="G2">
            <v>4907.625</v>
          </cell>
          <cell r="H2">
            <v>26432.749999999996</v>
          </cell>
          <cell r="I2">
            <v>26432.749999999996</v>
          </cell>
          <cell r="J2">
            <v>26432.749999999996</v>
          </cell>
          <cell r="K2">
            <v>26432.749999999996</v>
          </cell>
          <cell r="L2">
            <v>26432.749999999996</v>
          </cell>
          <cell r="M2">
            <v>26432.749999999996</v>
          </cell>
          <cell r="N2">
            <v>26432.749999999996</v>
          </cell>
          <cell r="T2">
            <v>192390.6875</v>
          </cell>
          <cell r="U2">
            <v>55271.874999999993</v>
          </cell>
          <cell r="V2">
            <v>55271.874999999993</v>
          </cell>
          <cell r="W2">
            <v>55271.874999999993</v>
          </cell>
          <cell r="X2">
            <v>55271.874999999993</v>
          </cell>
          <cell r="Y2">
            <v>55271.874999999993</v>
          </cell>
          <cell r="Z2">
            <v>55271.874999999993</v>
          </cell>
          <cell r="AA2">
            <v>55271.874999999993</v>
          </cell>
          <cell r="AB2">
            <v>55271.874999999993</v>
          </cell>
          <cell r="AC2">
            <v>55271.874999999993</v>
          </cell>
          <cell r="AD2">
            <v>55271.874999999993</v>
          </cell>
          <cell r="AE2">
            <v>55271.874999999993</v>
          </cell>
          <cell r="AF2">
            <v>55271.874999999993</v>
          </cell>
          <cell r="AG2">
            <v>855653.1875</v>
          </cell>
          <cell r="AH2">
            <v>88435</v>
          </cell>
          <cell r="AI2">
            <v>88435</v>
          </cell>
          <cell r="AJ2">
            <v>88435</v>
          </cell>
          <cell r="AK2">
            <v>88435</v>
          </cell>
          <cell r="AL2">
            <v>88435</v>
          </cell>
          <cell r="AM2">
            <v>88435</v>
          </cell>
          <cell r="AN2">
            <v>88435</v>
          </cell>
          <cell r="AO2">
            <v>88435</v>
          </cell>
          <cell r="AP2">
            <v>88435</v>
          </cell>
          <cell r="AQ2">
            <v>88435</v>
          </cell>
          <cell r="AR2">
            <v>88435</v>
          </cell>
          <cell r="AS2">
            <v>88435</v>
          </cell>
          <cell r="AT2">
            <v>1916873.1875</v>
          </cell>
          <cell r="AU2">
            <v>110543.74999999999</v>
          </cell>
          <cell r="AV2">
            <v>110543.74999999999</v>
          </cell>
          <cell r="AW2">
            <v>110543.74999999999</v>
          </cell>
          <cell r="AX2">
            <v>110543.74999999999</v>
          </cell>
          <cell r="AY2">
            <v>110543.74999999999</v>
          </cell>
          <cell r="AZ2">
            <v>110543.74999999999</v>
          </cell>
          <cell r="BA2">
            <v>110543.74999999999</v>
          </cell>
          <cell r="BB2">
            <v>110543.74999999999</v>
          </cell>
          <cell r="BC2">
            <v>110543.74999999999</v>
          </cell>
          <cell r="BD2">
            <v>110543.74999999999</v>
          </cell>
          <cell r="BE2">
            <v>110543.74999999999</v>
          </cell>
          <cell r="BF2">
            <v>110543.74999999999</v>
          </cell>
          <cell r="BG2">
            <v>3243398.1875</v>
          </cell>
          <cell r="BH2">
            <v>132652.49999999997</v>
          </cell>
          <cell r="BI2">
            <v>132652.49999999997</v>
          </cell>
          <cell r="BJ2">
            <v>132652.49999999997</v>
          </cell>
          <cell r="BK2">
            <v>132652.49999999997</v>
          </cell>
          <cell r="BL2">
            <v>132652.49999999997</v>
          </cell>
          <cell r="BM2">
            <v>132652.49999999997</v>
          </cell>
          <cell r="BN2">
            <v>132652.49999999997</v>
          </cell>
          <cell r="BO2">
            <v>132652.49999999997</v>
          </cell>
          <cell r="BP2">
            <v>132652.49999999997</v>
          </cell>
          <cell r="BQ2">
            <v>132652.49999999997</v>
          </cell>
          <cell r="BR2">
            <v>132652.49999999997</v>
          </cell>
          <cell r="BS2">
            <v>132652.49999999997</v>
          </cell>
          <cell r="BT2">
            <v>4835228.1875</v>
          </cell>
          <cell r="BU2">
            <v>154761.24999999997</v>
          </cell>
          <cell r="BV2">
            <v>154761.24999999997</v>
          </cell>
          <cell r="BW2">
            <v>154761.24999999997</v>
          </cell>
          <cell r="BX2">
            <v>154761.24999999997</v>
          </cell>
          <cell r="BY2">
            <v>154761.24999999997</v>
          </cell>
          <cell r="BZ2">
            <v>154761.24999999997</v>
          </cell>
          <cell r="CA2">
            <v>154761.24999999997</v>
          </cell>
          <cell r="CB2">
            <v>154761.24999999997</v>
          </cell>
          <cell r="CC2">
            <v>154761.24999999997</v>
          </cell>
          <cell r="CD2">
            <v>154761.24999999997</v>
          </cell>
          <cell r="CE2">
            <v>154761.24999999997</v>
          </cell>
          <cell r="CF2">
            <v>154761.24999999997</v>
          </cell>
          <cell r="CG2">
            <v>6692363.1875</v>
          </cell>
        </row>
        <row r="8">
          <cell r="C8">
            <v>19000</v>
          </cell>
          <cell r="D8">
            <v>19000</v>
          </cell>
          <cell r="E8">
            <v>820905.66</v>
          </cell>
          <cell r="F8">
            <v>30175.795625000002</v>
          </cell>
          <cell r="G8">
            <v>30323.024375000001</v>
          </cell>
          <cell r="H8">
            <v>32456.311250000002</v>
          </cell>
          <cell r="I8">
            <v>32456.311250000002</v>
          </cell>
          <cell r="J8">
            <v>32456.311250000002</v>
          </cell>
          <cell r="K8">
            <v>32456.311250000002</v>
          </cell>
          <cell r="L8">
            <v>32756.311250000002</v>
          </cell>
          <cell r="M8">
            <v>32756.311250000002</v>
          </cell>
          <cell r="N8">
            <v>32756.311250000002</v>
          </cell>
          <cell r="U8">
            <v>38689.228125000001</v>
          </cell>
          <cell r="V8">
            <v>38689.228125000001</v>
          </cell>
          <cell r="W8">
            <v>44398.8128125</v>
          </cell>
          <cell r="X8">
            <v>44398.8128125</v>
          </cell>
          <cell r="Y8">
            <v>44398.8128125</v>
          </cell>
          <cell r="Z8">
            <v>44398.8128125</v>
          </cell>
          <cell r="AA8">
            <v>44398.8128125</v>
          </cell>
          <cell r="AB8">
            <v>44398.8128125</v>
          </cell>
          <cell r="AC8">
            <v>44398.8128125</v>
          </cell>
          <cell r="AD8">
            <v>44398.8128125</v>
          </cell>
          <cell r="AE8">
            <v>44398.8128125</v>
          </cell>
          <cell r="AF8">
            <v>44398.8128125</v>
          </cell>
          <cell r="AH8">
            <v>54521.360500000003</v>
          </cell>
          <cell r="AI8">
            <v>54521.360500000003</v>
          </cell>
          <cell r="AJ8">
            <v>54521.360500000003</v>
          </cell>
          <cell r="AK8">
            <v>54521.360500000003</v>
          </cell>
          <cell r="AL8">
            <v>54521.360500000003</v>
          </cell>
          <cell r="AM8">
            <v>54521.360500000003</v>
          </cell>
          <cell r="AN8">
            <v>54521.360500000003</v>
          </cell>
          <cell r="AO8">
            <v>54521.360500000003</v>
          </cell>
          <cell r="AP8">
            <v>54521.360500000003</v>
          </cell>
          <cell r="AQ8">
            <v>54521.360500000003</v>
          </cell>
          <cell r="AR8">
            <v>54521.360500000003</v>
          </cell>
          <cell r="AS8">
            <v>54521.360500000003</v>
          </cell>
          <cell r="AU8">
            <v>62514.935625000013</v>
          </cell>
          <cell r="AV8">
            <v>62514.935625000013</v>
          </cell>
          <cell r="AW8">
            <v>62514.935625000013</v>
          </cell>
          <cell r="AX8">
            <v>62514.935625000013</v>
          </cell>
          <cell r="AY8">
            <v>62514.935625000013</v>
          </cell>
          <cell r="AZ8">
            <v>62514.935625000013</v>
          </cell>
          <cell r="BA8">
            <v>62514.935625000013</v>
          </cell>
          <cell r="BB8">
            <v>62514.935625000013</v>
          </cell>
          <cell r="BC8">
            <v>62514.935625000013</v>
          </cell>
          <cell r="BD8">
            <v>62514.935625000013</v>
          </cell>
          <cell r="BE8">
            <v>62514.935625000013</v>
          </cell>
          <cell r="BF8">
            <v>62514.935625000013</v>
          </cell>
          <cell r="BH8">
            <v>71406.815350000004</v>
          </cell>
          <cell r="BI8">
            <v>71406.815350000004</v>
          </cell>
          <cell r="BJ8">
            <v>71406.815350000004</v>
          </cell>
          <cell r="BK8">
            <v>71406.815350000004</v>
          </cell>
          <cell r="BL8">
            <v>71406.815350000004</v>
          </cell>
          <cell r="BM8">
            <v>71406.815350000004</v>
          </cell>
          <cell r="BN8">
            <v>71406.815350000004</v>
          </cell>
          <cell r="BO8">
            <v>71406.815350000004</v>
          </cell>
          <cell r="BP8">
            <v>71406.815350000004</v>
          </cell>
          <cell r="BQ8">
            <v>71406.815350000004</v>
          </cell>
          <cell r="BR8">
            <v>71406.815350000004</v>
          </cell>
          <cell r="BS8">
            <v>71406.815350000004</v>
          </cell>
          <cell r="BU8">
            <v>79481.520975000007</v>
          </cell>
          <cell r="BV8">
            <v>79481.520975000007</v>
          </cell>
          <cell r="BW8">
            <v>79481.520975000007</v>
          </cell>
          <cell r="BX8">
            <v>79481.520975000007</v>
          </cell>
          <cell r="BY8">
            <v>79481.520975000007</v>
          </cell>
          <cell r="BZ8">
            <v>79481.520975000007</v>
          </cell>
          <cell r="CA8">
            <v>79481.520975000007</v>
          </cell>
          <cell r="CB8">
            <v>79481.520975000007</v>
          </cell>
          <cell r="CC8">
            <v>79481.520975000007</v>
          </cell>
          <cell r="CD8">
            <v>79481.520975000007</v>
          </cell>
          <cell r="CE8">
            <v>79481.520975000007</v>
          </cell>
          <cell r="CF8">
            <v>79481.520975000007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çamento"/>
      <sheetName val="Custo investimento Lab"/>
      <sheetName val="Financiamento"/>
      <sheetName val="Água e luz"/>
      <sheetName val="Cálcul. trabalhado"/>
      <sheetName val="Cálculo kit higiene"/>
      <sheetName val="Equipe"/>
      <sheetName val="Orçamento máquinas"/>
      <sheetName val="Cronograma de ativ."/>
      <sheetName val="Cálcul. para definição benefic"/>
      <sheetName val="Benefícios Personal"/>
      <sheetName val="Benefícios aluno"/>
      <sheetName val="Manifesto"/>
      <sheetName val="Concorrentes"/>
      <sheetName val="Local"/>
      <sheetName val="Sistema"/>
    </sheetNames>
    <sheetDataSet>
      <sheetData sheetId="0">
        <row r="1">
          <cell r="C1">
            <v>46966</v>
          </cell>
          <cell r="D1">
            <v>46997</v>
          </cell>
          <cell r="E1">
            <v>47027</v>
          </cell>
          <cell r="F1">
            <v>47058</v>
          </cell>
          <cell r="G1">
            <v>47088</v>
          </cell>
          <cell r="H1">
            <v>47119</v>
          </cell>
          <cell r="I1">
            <v>47150</v>
          </cell>
          <cell r="J1">
            <v>47178</v>
          </cell>
          <cell r="K1">
            <v>47209</v>
          </cell>
          <cell r="L1">
            <v>47239</v>
          </cell>
          <cell r="M1">
            <v>47270</v>
          </cell>
          <cell r="N1">
            <v>47300</v>
          </cell>
          <cell r="O1">
            <v>47331</v>
          </cell>
          <cell r="P1">
            <v>47362</v>
          </cell>
          <cell r="Q1">
            <v>47392</v>
          </cell>
          <cell r="R1">
            <v>47423</v>
          </cell>
          <cell r="S1">
            <v>47453</v>
          </cell>
          <cell r="T1" t="str">
            <v>Total Acumulado Ano 1</v>
          </cell>
          <cell r="U1">
            <v>47484</v>
          </cell>
          <cell r="V1">
            <v>47515</v>
          </cell>
          <cell r="W1">
            <v>47543</v>
          </cell>
          <cell r="X1">
            <v>47574</v>
          </cell>
          <cell r="Y1">
            <v>47604</v>
          </cell>
          <cell r="Z1">
            <v>47635</v>
          </cell>
          <cell r="AA1">
            <v>47665</v>
          </cell>
          <cell r="AB1">
            <v>47696</v>
          </cell>
          <cell r="AC1">
            <v>47727</v>
          </cell>
          <cell r="AD1">
            <v>47757</v>
          </cell>
          <cell r="AE1">
            <v>47788</v>
          </cell>
          <cell r="AF1">
            <v>47818</v>
          </cell>
          <cell r="AG1" t="str">
            <v>Total Acumulado Ano 2</v>
          </cell>
          <cell r="AH1">
            <v>47849</v>
          </cell>
          <cell r="AI1">
            <v>47880</v>
          </cell>
          <cell r="AJ1">
            <v>47908</v>
          </cell>
          <cell r="AK1">
            <v>47939</v>
          </cell>
          <cell r="AL1">
            <v>47969</v>
          </cell>
          <cell r="AM1">
            <v>48731</v>
          </cell>
          <cell r="AN1">
            <v>48030</v>
          </cell>
          <cell r="AO1">
            <v>48061</v>
          </cell>
          <cell r="AP1">
            <v>48092</v>
          </cell>
          <cell r="AQ1">
            <v>48122</v>
          </cell>
          <cell r="AR1">
            <v>48153</v>
          </cell>
          <cell r="AS1">
            <v>48183</v>
          </cell>
          <cell r="AT1" t="str">
            <v>Total Acumulado Ano 3</v>
          </cell>
          <cell r="AU1">
            <v>48214</v>
          </cell>
          <cell r="AV1">
            <v>48245</v>
          </cell>
          <cell r="AW1">
            <v>48274</v>
          </cell>
          <cell r="AX1">
            <v>48305</v>
          </cell>
          <cell r="AY1">
            <v>48335</v>
          </cell>
          <cell r="AZ1">
            <v>48366</v>
          </cell>
          <cell r="BA1">
            <v>48396</v>
          </cell>
          <cell r="BB1">
            <v>48427</v>
          </cell>
          <cell r="BC1">
            <v>48458</v>
          </cell>
          <cell r="BD1">
            <v>48488</v>
          </cell>
          <cell r="BE1">
            <v>48519</v>
          </cell>
          <cell r="BF1">
            <v>48549</v>
          </cell>
          <cell r="BG1" t="str">
            <v>Total Acumulado Ano 4</v>
          </cell>
          <cell r="BH1">
            <v>48580</v>
          </cell>
          <cell r="BI1">
            <v>48611</v>
          </cell>
          <cell r="BJ1">
            <v>48639</v>
          </cell>
          <cell r="BK1">
            <v>48670</v>
          </cell>
          <cell r="BL1">
            <v>48700</v>
          </cell>
          <cell r="BM1">
            <v>48731</v>
          </cell>
          <cell r="BN1">
            <v>48761</v>
          </cell>
          <cell r="BO1">
            <v>48792</v>
          </cell>
          <cell r="BP1">
            <v>48823</v>
          </cell>
          <cell r="BQ1">
            <v>48853</v>
          </cell>
          <cell r="BR1">
            <v>48884</v>
          </cell>
          <cell r="BS1">
            <v>48914</v>
          </cell>
          <cell r="BT1" t="str">
            <v>Total Acumulado Ano 5</v>
          </cell>
          <cell r="BU1">
            <v>48945</v>
          </cell>
          <cell r="BV1">
            <v>48976</v>
          </cell>
          <cell r="BW1">
            <v>49004</v>
          </cell>
          <cell r="BX1">
            <v>49035</v>
          </cell>
          <cell r="BY1">
            <v>49065</v>
          </cell>
          <cell r="BZ1">
            <v>49096</v>
          </cell>
          <cell r="CA1">
            <v>49126</v>
          </cell>
          <cell r="CB1">
            <v>49157</v>
          </cell>
          <cell r="CC1">
            <v>49188</v>
          </cell>
          <cell r="CD1">
            <v>49218</v>
          </cell>
          <cell r="CE1">
            <v>49249</v>
          </cell>
          <cell r="CF1">
            <v>49279</v>
          </cell>
          <cell r="CG1" t="str">
            <v>Total Acumulado Ano 6</v>
          </cell>
        </row>
        <row r="2">
          <cell r="C2">
            <v>0</v>
          </cell>
          <cell r="D2">
            <v>0</v>
          </cell>
          <cell r="E2">
            <v>0</v>
          </cell>
          <cell r="F2">
            <v>2453.8125</v>
          </cell>
          <cell r="G2">
            <v>4907.625</v>
          </cell>
          <cell r="H2">
            <v>26432.749999999996</v>
          </cell>
          <cell r="I2">
            <v>26432.749999999996</v>
          </cell>
          <cell r="J2">
            <v>26432.749999999996</v>
          </cell>
          <cell r="K2">
            <v>26432.749999999996</v>
          </cell>
          <cell r="L2">
            <v>26432.749999999996</v>
          </cell>
          <cell r="M2">
            <v>26432.749999999996</v>
          </cell>
          <cell r="N2">
            <v>26432.749999999996</v>
          </cell>
          <cell r="O2">
            <v>26432.749999999996</v>
          </cell>
          <cell r="P2">
            <v>26432.749999999996</v>
          </cell>
          <cell r="Q2">
            <v>26432.749999999996</v>
          </cell>
          <cell r="R2">
            <v>26432.749999999996</v>
          </cell>
          <cell r="S2">
            <v>26432.749999999996</v>
          </cell>
          <cell r="T2">
            <v>324554.4375</v>
          </cell>
          <cell r="U2">
            <v>55271.874999999993</v>
          </cell>
          <cell r="V2">
            <v>55271.874999999993</v>
          </cell>
          <cell r="W2">
            <v>55271.874999999993</v>
          </cell>
          <cell r="X2">
            <v>55271.874999999993</v>
          </cell>
          <cell r="Y2">
            <v>55271.874999999993</v>
          </cell>
          <cell r="Z2">
            <v>55271.874999999993</v>
          </cell>
          <cell r="AA2">
            <v>55271.874999999993</v>
          </cell>
          <cell r="AB2">
            <v>55271.874999999993</v>
          </cell>
          <cell r="AC2">
            <v>55271.874999999993</v>
          </cell>
          <cell r="AD2">
            <v>55271.874999999993</v>
          </cell>
          <cell r="AE2">
            <v>55271.874999999993</v>
          </cell>
          <cell r="AF2">
            <v>55271.874999999993</v>
          </cell>
          <cell r="AG2">
            <v>987816.9375</v>
          </cell>
          <cell r="AH2">
            <v>88435</v>
          </cell>
          <cell r="AI2">
            <v>88435</v>
          </cell>
          <cell r="AJ2">
            <v>88435</v>
          </cell>
          <cell r="AK2">
            <v>88435</v>
          </cell>
          <cell r="AL2">
            <v>88435</v>
          </cell>
          <cell r="AM2">
            <v>88435</v>
          </cell>
          <cell r="AN2">
            <v>88435</v>
          </cell>
          <cell r="AO2">
            <v>88435</v>
          </cell>
          <cell r="AP2">
            <v>88435</v>
          </cell>
          <cell r="AQ2">
            <v>88435</v>
          </cell>
          <cell r="AR2">
            <v>88435</v>
          </cell>
          <cell r="AS2">
            <v>88435</v>
          </cell>
          <cell r="AT2">
            <v>2049036.9375</v>
          </cell>
          <cell r="AU2">
            <v>110543.74999999999</v>
          </cell>
          <cell r="AV2">
            <v>110543.74999999999</v>
          </cell>
          <cell r="AW2">
            <v>110543.74999999999</v>
          </cell>
          <cell r="AX2">
            <v>110543.74999999999</v>
          </cell>
          <cell r="AY2">
            <v>110543.74999999999</v>
          </cell>
          <cell r="AZ2">
            <v>110543.74999999999</v>
          </cell>
          <cell r="BA2">
            <v>110543.74999999999</v>
          </cell>
          <cell r="BB2">
            <v>110543.74999999999</v>
          </cell>
          <cell r="BC2">
            <v>110543.74999999999</v>
          </cell>
          <cell r="BD2">
            <v>110543.74999999999</v>
          </cell>
          <cell r="BE2">
            <v>110543.74999999999</v>
          </cell>
          <cell r="BF2">
            <v>110543.74999999999</v>
          </cell>
          <cell r="BG2">
            <v>3375561.9375</v>
          </cell>
          <cell r="BH2">
            <v>132652.49999999997</v>
          </cell>
          <cell r="BI2">
            <v>132652.49999999997</v>
          </cell>
          <cell r="BJ2">
            <v>132652.49999999997</v>
          </cell>
          <cell r="BK2">
            <v>132652.49999999997</v>
          </cell>
          <cell r="BL2">
            <v>132652.49999999997</v>
          </cell>
          <cell r="BM2">
            <v>132652.49999999997</v>
          </cell>
          <cell r="BN2">
            <v>132652.49999999997</v>
          </cell>
          <cell r="BO2">
            <v>132652.49999999997</v>
          </cell>
          <cell r="BP2">
            <v>132652.49999999997</v>
          </cell>
          <cell r="BQ2">
            <v>132652.49999999997</v>
          </cell>
          <cell r="BR2">
            <v>132652.49999999997</v>
          </cell>
          <cell r="BS2">
            <v>132652.49999999997</v>
          </cell>
          <cell r="BT2">
            <v>4967391.9375</v>
          </cell>
          <cell r="BU2">
            <v>154761.24999999997</v>
          </cell>
          <cell r="BV2">
            <v>154761.24999999997</v>
          </cell>
          <cell r="BW2">
            <v>154761.24999999997</v>
          </cell>
          <cell r="BX2">
            <v>154761.24999999997</v>
          </cell>
          <cell r="BY2">
            <v>154761.24999999997</v>
          </cell>
          <cell r="BZ2">
            <v>154761.24999999997</v>
          </cell>
          <cell r="CA2">
            <v>154761.24999999997</v>
          </cell>
          <cell r="CB2">
            <v>154761.24999999997</v>
          </cell>
          <cell r="CC2">
            <v>154761.24999999997</v>
          </cell>
          <cell r="CD2">
            <v>154761.24999999997</v>
          </cell>
          <cell r="CE2">
            <v>154761.24999999997</v>
          </cell>
          <cell r="CF2">
            <v>154761.24999999997</v>
          </cell>
          <cell r="CG2">
            <v>6824526.9375</v>
          </cell>
        </row>
        <row r="8">
          <cell r="C8">
            <v>19000</v>
          </cell>
          <cell r="D8">
            <v>19000</v>
          </cell>
          <cell r="E8">
            <v>820905.66</v>
          </cell>
          <cell r="F8">
            <v>30175.795625000002</v>
          </cell>
          <cell r="G8">
            <v>30323.024375000001</v>
          </cell>
          <cell r="H8">
            <v>32456.311250000002</v>
          </cell>
          <cell r="I8">
            <v>32456.311250000002</v>
          </cell>
          <cell r="J8">
            <v>32456.311250000002</v>
          </cell>
          <cell r="K8">
            <v>32456.311250000002</v>
          </cell>
          <cell r="L8">
            <v>32756.311250000002</v>
          </cell>
          <cell r="M8">
            <v>32756.311250000002</v>
          </cell>
          <cell r="N8">
            <v>32756.311250000002</v>
          </cell>
          <cell r="O8">
            <v>32756.311250000002</v>
          </cell>
          <cell r="P8">
            <v>32756.311250000002</v>
          </cell>
          <cell r="Q8">
            <v>32756.311250000002</v>
          </cell>
          <cell r="R8">
            <v>32756.311250000002</v>
          </cell>
          <cell r="S8">
            <v>32756.311250000002</v>
          </cell>
          <cell r="U8">
            <v>38689.228125000001</v>
          </cell>
          <cell r="V8">
            <v>38689.228125000001</v>
          </cell>
          <cell r="W8">
            <v>44398.8128125</v>
          </cell>
          <cell r="X8">
            <v>44398.8128125</v>
          </cell>
          <cell r="Y8">
            <v>44398.8128125</v>
          </cell>
          <cell r="Z8">
            <v>44398.8128125</v>
          </cell>
          <cell r="AA8">
            <v>44398.8128125</v>
          </cell>
          <cell r="AB8">
            <v>44398.8128125</v>
          </cell>
          <cell r="AC8">
            <v>44398.8128125</v>
          </cell>
          <cell r="AD8">
            <v>44398.8128125</v>
          </cell>
          <cell r="AE8">
            <v>44398.8128125</v>
          </cell>
          <cell r="AF8">
            <v>44398.8128125</v>
          </cell>
          <cell r="AH8">
            <v>54521.360500000003</v>
          </cell>
          <cell r="AI8">
            <v>54521.360500000003</v>
          </cell>
          <cell r="AJ8">
            <v>54521.360500000003</v>
          </cell>
          <cell r="AK8">
            <v>54521.360500000003</v>
          </cell>
          <cell r="AL8">
            <v>54521.360500000003</v>
          </cell>
          <cell r="AM8">
            <v>54521.360500000003</v>
          </cell>
          <cell r="AN8">
            <v>54521.360500000003</v>
          </cell>
          <cell r="AO8">
            <v>54521.360500000003</v>
          </cell>
          <cell r="AP8">
            <v>54521.360500000003</v>
          </cell>
          <cell r="AQ8">
            <v>54521.360500000003</v>
          </cell>
          <cell r="AR8">
            <v>54521.360500000003</v>
          </cell>
          <cell r="AS8">
            <v>54521.360500000003</v>
          </cell>
          <cell r="AU8">
            <v>62514.935625000013</v>
          </cell>
          <cell r="AV8">
            <v>62514.935625000013</v>
          </cell>
          <cell r="AW8">
            <v>62514.935625000013</v>
          </cell>
          <cell r="AX8">
            <v>62514.935625000013</v>
          </cell>
          <cell r="AY8">
            <v>62514.935625000013</v>
          </cell>
          <cell r="AZ8">
            <v>62514.935625000013</v>
          </cell>
          <cell r="BA8">
            <v>62514.935625000013</v>
          </cell>
          <cell r="BB8">
            <v>62514.935625000013</v>
          </cell>
          <cell r="BC8">
            <v>62514.935625000013</v>
          </cell>
          <cell r="BD8">
            <v>62514.935625000013</v>
          </cell>
          <cell r="BE8">
            <v>62514.935625000013</v>
          </cell>
          <cell r="BF8">
            <v>62514.935625000013</v>
          </cell>
          <cell r="BH8">
            <v>71406.815350000004</v>
          </cell>
          <cell r="BI8">
            <v>71406.815350000004</v>
          </cell>
          <cell r="BJ8">
            <v>71406.815350000004</v>
          </cell>
          <cell r="BK8">
            <v>71406.815350000004</v>
          </cell>
          <cell r="BL8">
            <v>71406.815350000004</v>
          </cell>
          <cell r="BM8">
            <v>71406.815350000004</v>
          </cell>
          <cell r="BN8">
            <v>71406.815350000004</v>
          </cell>
          <cell r="BO8">
            <v>71406.815350000004</v>
          </cell>
          <cell r="BP8">
            <v>71406.815350000004</v>
          </cell>
          <cell r="BQ8">
            <v>71406.815350000004</v>
          </cell>
          <cell r="BR8">
            <v>71406.815350000004</v>
          </cell>
          <cell r="BS8">
            <v>71406.815350000004</v>
          </cell>
          <cell r="BU8">
            <v>79481.520975000007</v>
          </cell>
          <cell r="BV8">
            <v>79481.520975000007</v>
          </cell>
          <cell r="BW8">
            <v>79481.520975000007</v>
          </cell>
          <cell r="BX8">
            <v>79481.520975000007</v>
          </cell>
          <cell r="BY8">
            <v>79481.520975000007</v>
          </cell>
          <cell r="BZ8">
            <v>79481.520975000007</v>
          </cell>
          <cell r="CA8">
            <v>79481.520975000007</v>
          </cell>
          <cell r="CB8">
            <v>79481.520975000007</v>
          </cell>
          <cell r="CC8">
            <v>79481.520975000007</v>
          </cell>
          <cell r="CD8">
            <v>79481.520975000007</v>
          </cell>
          <cell r="CE8">
            <v>79481.520975000007</v>
          </cell>
          <cell r="CF8">
            <v>79481.520975000007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çamento"/>
      <sheetName val="Custo investimento "/>
      <sheetName val="Financiamento"/>
      <sheetName val="Água e luz"/>
      <sheetName val="Cálcul. trabalhado"/>
      <sheetName val="Cálculo kit higiene"/>
      <sheetName val="Equipe"/>
      <sheetName val="Orçamento máquinas"/>
      <sheetName val="Cronograma de ativ."/>
      <sheetName val="Cálcul. para definição benefic"/>
      <sheetName val="Fórmulas fee para split"/>
      <sheetName val="Benefícios Personal"/>
      <sheetName val="Benefícios aluno"/>
      <sheetName val="Manifesto"/>
      <sheetName val="Concorrentes"/>
      <sheetName val="Local"/>
      <sheetName val="Sistema"/>
    </sheetNames>
    <sheetDataSet>
      <sheetData sheetId="0">
        <row r="1">
          <cell r="C1">
            <v>47119</v>
          </cell>
          <cell r="D1">
            <v>47150</v>
          </cell>
          <cell r="E1">
            <v>47178</v>
          </cell>
          <cell r="F1">
            <v>47209</v>
          </cell>
          <cell r="G1">
            <v>47239</v>
          </cell>
          <cell r="H1">
            <v>47270</v>
          </cell>
          <cell r="I1">
            <v>47300</v>
          </cell>
          <cell r="J1">
            <v>47331</v>
          </cell>
          <cell r="K1">
            <v>47362</v>
          </cell>
          <cell r="L1">
            <v>47392</v>
          </cell>
          <cell r="M1">
            <v>47423</v>
          </cell>
          <cell r="N1">
            <v>47453</v>
          </cell>
          <cell r="T1" t="str">
            <v>Total Acumulado Ano 1</v>
          </cell>
          <cell r="U1">
            <v>47484</v>
          </cell>
          <cell r="V1">
            <v>47515</v>
          </cell>
          <cell r="W1">
            <v>47543</v>
          </cell>
          <cell r="X1">
            <v>47574</v>
          </cell>
          <cell r="Y1">
            <v>47604</v>
          </cell>
          <cell r="Z1">
            <v>47635</v>
          </cell>
          <cell r="AA1">
            <v>47665</v>
          </cell>
          <cell r="AB1">
            <v>47696</v>
          </cell>
          <cell r="AC1">
            <v>47727</v>
          </cell>
          <cell r="AD1">
            <v>47757</v>
          </cell>
          <cell r="AE1">
            <v>47788</v>
          </cell>
          <cell r="AF1">
            <v>47818</v>
          </cell>
          <cell r="AG1" t="str">
            <v>Total Acumulado Ano 2</v>
          </cell>
          <cell r="AH1">
            <v>47849</v>
          </cell>
          <cell r="AI1">
            <v>47880</v>
          </cell>
          <cell r="AJ1">
            <v>47908</v>
          </cell>
          <cell r="AK1">
            <v>47939</v>
          </cell>
          <cell r="AL1">
            <v>47969</v>
          </cell>
          <cell r="AM1">
            <v>48000</v>
          </cell>
          <cell r="AN1">
            <v>48030</v>
          </cell>
          <cell r="AO1">
            <v>48061</v>
          </cell>
          <cell r="AP1">
            <v>48092</v>
          </cell>
          <cell r="AQ1">
            <v>48122</v>
          </cell>
          <cell r="AR1">
            <v>48153</v>
          </cell>
          <cell r="AS1">
            <v>48183</v>
          </cell>
          <cell r="AT1" t="str">
            <v>Total Acumulado Ano 3</v>
          </cell>
          <cell r="AU1">
            <v>48214</v>
          </cell>
          <cell r="AV1">
            <v>48245</v>
          </cell>
          <cell r="AW1">
            <v>48274</v>
          </cell>
          <cell r="AX1">
            <v>48305</v>
          </cell>
          <cell r="AY1">
            <v>48335</v>
          </cell>
          <cell r="AZ1">
            <v>48366</v>
          </cell>
          <cell r="BA1">
            <v>48396</v>
          </cell>
          <cell r="BB1">
            <v>48427</v>
          </cell>
          <cell r="BC1">
            <v>48458</v>
          </cell>
          <cell r="BD1">
            <v>48488</v>
          </cell>
          <cell r="BE1">
            <v>48519</v>
          </cell>
          <cell r="BF1">
            <v>48549</v>
          </cell>
          <cell r="BG1" t="str">
            <v>Total Acumulado Ano 4</v>
          </cell>
          <cell r="BH1">
            <v>48580</v>
          </cell>
          <cell r="BI1">
            <v>48611</v>
          </cell>
          <cell r="BJ1">
            <v>48639</v>
          </cell>
          <cell r="BK1">
            <v>48670</v>
          </cell>
          <cell r="BL1">
            <v>48700</v>
          </cell>
          <cell r="BM1">
            <v>48731</v>
          </cell>
          <cell r="BN1">
            <v>48761</v>
          </cell>
          <cell r="BO1">
            <v>48792</v>
          </cell>
          <cell r="BP1">
            <v>48823</v>
          </cell>
          <cell r="BQ1">
            <v>48853</v>
          </cell>
          <cell r="BR1">
            <v>48884</v>
          </cell>
          <cell r="BS1">
            <v>48914</v>
          </cell>
          <cell r="BT1" t="str">
            <v>Total Acumulado Ano 5</v>
          </cell>
          <cell r="BU1">
            <v>48945</v>
          </cell>
          <cell r="BV1">
            <v>48976</v>
          </cell>
          <cell r="BW1">
            <v>49004</v>
          </cell>
          <cell r="BX1">
            <v>49035</v>
          </cell>
          <cell r="BY1">
            <v>49065</v>
          </cell>
          <cell r="BZ1">
            <v>49096</v>
          </cell>
          <cell r="CA1">
            <v>49126</v>
          </cell>
          <cell r="CB1">
            <v>49157</v>
          </cell>
          <cell r="CC1">
            <v>49188</v>
          </cell>
          <cell r="CD1">
            <v>49218</v>
          </cell>
          <cell r="CE1">
            <v>49249</v>
          </cell>
          <cell r="CF1">
            <v>49279</v>
          </cell>
          <cell r="CG1" t="str">
            <v>Total Acumulado Ano 6</v>
          </cell>
        </row>
        <row r="2">
          <cell r="C2">
            <v>0</v>
          </cell>
          <cell r="D2">
            <v>0</v>
          </cell>
          <cell r="E2">
            <v>0</v>
          </cell>
          <cell r="F2">
            <v>2453.8125</v>
          </cell>
          <cell r="G2">
            <v>4907.625</v>
          </cell>
          <cell r="H2">
            <v>26432.749999999996</v>
          </cell>
          <cell r="I2">
            <v>26432.749999999996</v>
          </cell>
          <cell r="J2">
            <v>26432.749999999996</v>
          </cell>
          <cell r="K2">
            <v>26432.749999999996</v>
          </cell>
          <cell r="L2">
            <v>26432.749999999996</v>
          </cell>
          <cell r="M2">
            <v>26432.749999999996</v>
          </cell>
          <cell r="N2">
            <v>26432.749999999996</v>
          </cell>
          <cell r="T2">
            <v>192390.6875</v>
          </cell>
          <cell r="U2">
            <v>55271.874999999993</v>
          </cell>
          <cell r="V2">
            <v>55271.874999999993</v>
          </cell>
          <cell r="W2">
            <v>55271.874999999993</v>
          </cell>
          <cell r="X2">
            <v>55271.874999999993</v>
          </cell>
          <cell r="Y2">
            <v>55271.874999999993</v>
          </cell>
          <cell r="Z2">
            <v>55271.874999999993</v>
          </cell>
          <cell r="AA2">
            <v>55271.874999999993</v>
          </cell>
          <cell r="AB2">
            <v>55271.874999999993</v>
          </cell>
          <cell r="AC2">
            <v>55271.874999999993</v>
          </cell>
          <cell r="AD2">
            <v>55271.874999999993</v>
          </cell>
          <cell r="AE2">
            <v>55271.874999999993</v>
          </cell>
          <cell r="AF2">
            <v>55271.874999999993</v>
          </cell>
          <cell r="AG2">
            <v>855653.1875</v>
          </cell>
          <cell r="AH2">
            <v>88435</v>
          </cell>
          <cell r="AI2">
            <v>88435</v>
          </cell>
          <cell r="AJ2">
            <v>88435</v>
          </cell>
          <cell r="AK2">
            <v>88435</v>
          </cell>
          <cell r="AL2">
            <v>88435</v>
          </cell>
          <cell r="AM2">
            <v>88435</v>
          </cell>
          <cell r="AN2">
            <v>88435</v>
          </cell>
          <cell r="AO2">
            <v>88435</v>
          </cell>
          <cell r="AP2">
            <v>88435</v>
          </cell>
          <cell r="AQ2">
            <v>88435</v>
          </cell>
          <cell r="AR2">
            <v>88435</v>
          </cell>
          <cell r="AS2">
            <v>88435</v>
          </cell>
          <cell r="AT2">
            <v>1916873.1875</v>
          </cell>
          <cell r="AU2">
            <v>110543.74999999999</v>
          </cell>
          <cell r="AV2">
            <v>110543.74999999999</v>
          </cell>
          <cell r="AW2">
            <v>110543.74999999999</v>
          </cell>
          <cell r="AX2">
            <v>110543.74999999999</v>
          </cell>
          <cell r="AY2">
            <v>110543.74999999999</v>
          </cell>
          <cell r="AZ2">
            <v>110543.74999999999</v>
          </cell>
          <cell r="BA2">
            <v>110543.74999999999</v>
          </cell>
          <cell r="BB2">
            <v>110543.74999999999</v>
          </cell>
          <cell r="BC2">
            <v>110543.74999999999</v>
          </cell>
          <cell r="BD2">
            <v>110543.74999999999</v>
          </cell>
          <cell r="BE2">
            <v>110543.74999999999</v>
          </cell>
          <cell r="BF2">
            <v>110543.74999999999</v>
          </cell>
          <cell r="BG2">
            <v>3243398.1875</v>
          </cell>
          <cell r="BH2">
            <v>132652.49999999997</v>
          </cell>
          <cell r="BI2">
            <v>132652.49999999997</v>
          </cell>
          <cell r="BJ2">
            <v>132652.49999999997</v>
          </cell>
          <cell r="BK2">
            <v>132652.49999999997</v>
          </cell>
          <cell r="BL2">
            <v>132652.49999999997</v>
          </cell>
          <cell r="BM2">
            <v>132652.49999999997</v>
          </cell>
          <cell r="BN2">
            <v>132652.49999999997</v>
          </cell>
          <cell r="BO2">
            <v>132652.49999999997</v>
          </cell>
          <cell r="BP2">
            <v>132652.49999999997</v>
          </cell>
          <cell r="BQ2">
            <v>132652.49999999997</v>
          </cell>
          <cell r="BR2">
            <v>132652.49999999997</v>
          </cell>
          <cell r="BS2">
            <v>132652.49999999997</v>
          </cell>
          <cell r="BT2">
            <v>4835228.1875</v>
          </cell>
          <cell r="BU2">
            <v>154761.24999999997</v>
          </cell>
          <cell r="BV2">
            <v>154761.24999999997</v>
          </cell>
          <cell r="BW2">
            <v>154761.24999999997</v>
          </cell>
          <cell r="BX2">
            <v>154761.24999999997</v>
          </cell>
          <cell r="BY2">
            <v>154761.24999999997</v>
          </cell>
          <cell r="BZ2">
            <v>154761.24999999997</v>
          </cell>
          <cell r="CA2">
            <v>154761.24999999997</v>
          </cell>
          <cell r="CB2">
            <v>154761.24999999997</v>
          </cell>
          <cell r="CC2">
            <v>154761.24999999997</v>
          </cell>
          <cell r="CD2">
            <v>154761.24999999997</v>
          </cell>
          <cell r="CE2">
            <v>154761.24999999997</v>
          </cell>
          <cell r="CF2">
            <v>154761.24999999997</v>
          </cell>
          <cell r="CG2">
            <v>6692363.1875</v>
          </cell>
        </row>
        <row r="8">
          <cell r="C8">
            <v>19000</v>
          </cell>
          <cell r="D8">
            <v>19000</v>
          </cell>
          <cell r="E8">
            <v>820905.66</v>
          </cell>
          <cell r="F8">
            <v>30175.795625000002</v>
          </cell>
          <cell r="G8">
            <v>30323.024375000001</v>
          </cell>
          <cell r="H8">
            <v>32456.311250000002</v>
          </cell>
          <cell r="I8">
            <v>32456.311250000002</v>
          </cell>
          <cell r="J8">
            <v>32456.311250000002</v>
          </cell>
          <cell r="K8">
            <v>32456.311250000002</v>
          </cell>
          <cell r="L8">
            <v>32756.311250000002</v>
          </cell>
          <cell r="M8">
            <v>32756.311250000002</v>
          </cell>
          <cell r="N8">
            <v>32756.311250000002</v>
          </cell>
          <cell r="U8">
            <v>38689.228125000001</v>
          </cell>
          <cell r="V8">
            <v>38689.228125000001</v>
          </cell>
          <cell r="W8">
            <v>44398.8128125</v>
          </cell>
          <cell r="X8">
            <v>44398.8128125</v>
          </cell>
          <cell r="Y8">
            <v>44398.8128125</v>
          </cell>
          <cell r="Z8">
            <v>44398.8128125</v>
          </cell>
          <cell r="AA8">
            <v>44398.8128125</v>
          </cell>
          <cell r="AB8">
            <v>44398.8128125</v>
          </cell>
          <cell r="AC8">
            <v>44398.8128125</v>
          </cell>
          <cell r="AD8">
            <v>44398.8128125</v>
          </cell>
          <cell r="AE8">
            <v>44398.8128125</v>
          </cell>
          <cell r="AF8">
            <v>44398.8128125</v>
          </cell>
          <cell r="AH8">
            <v>54521.360500000003</v>
          </cell>
          <cell r="AI8">
            <v>54521.360500000003</v>
          </cell>
          <cell r="AJ8">
            <v>54521.360500000003</v>
          </cell>
          <cell r="AK8">
            <v>54521.360500000003</v>
          </cell>
          <cell r="AL8">
            <v>54521.360500000003</v>
          </cell>
          <cell r="AM8">
            <v>54521.360500000003</v>
          </cell>
          <cell r="AN8">
            <v>54521.360500000003</v>
          </cell>
          <cell r="AO8">
            <v>54521.360500000003</v>
          </cell>
          <cell r="AP8">
            <v>54521.360500000003</v>
          </cell>
          <cell r="AQ8">
            <v>54521.360500000003</v>
          </cell>
          <cell r="AR8">
            <v>54521.360500000003</v>
          </cell>
          <cell r="AS8">
            <v>54521.360500000003</v>
          </cell>
          <cell r="AU8">
            <v>62514.935625000013</v>
          </cell>
          <cell r="AV8">
            <v>62514.935625000013</v>
          </cell>
          <cell r="AW8">
            <v>62514.935625000013</v>
          </cell>
          <cell r="AX8">
            <v>62514.935625000013</v>
          </cell>
          <cell r="AY8">
            <v>62514.935625000013</v>
          </cell>
          <cell r="AZ8">
            <v>62514.935625000013</v>
          </cell>
          <cell r="BA8">
            <v>62514.935625000013</v>
          </cell>
          <cell r="BB8">
            <v>62514.935625000013</v>
          </cell>
          <cell r="BC8">
            <v>62514.935625000013</v>
          </cell>
          <cell r="BD8">
            <v>62514.935625000013</v>
          </cell>
          <cell r="BE8">
            <v>62514.935625000013</v>
          </cell>
          <cell r="BF8">
            <v>62514.935625000013</v>
          </cell>
          <cell r="BH8">
            <v>71406.815350000004</v>
          </cell>
          <cell r="BI8">
            <v>71406.815350000004</v>
          </cell>
          <cell r="BJ8">
            <v>71406.815350000004</v>
          </cell>
          <cell r="BK8">
            <v>71406.815350000004</v>
          </cell>
          <cell r="BL8">
            <v>71406.815350000004</v>
          </cell>
          <cell r="BM8">
            <v>71406.815350000004</v>
          </cell>
          <cell r="BN8">
            <v>71406.815350000004</v>
          </cell>
          <cell r="BO8">
            <v>71406.815350000004</v>
          </cell>
          <cell r="BP8">
            <v>71406.815350000004</v>
          </cell>
          <cell r="BQ8">
            <v>71406.815350000004</v>
          </cell>
          <cell r="BR8">
            <v>71406.815350000004</v>
          </cell>
          <cell r="BS8">
            <v>71406.815350000004</v>
          </cell>
          <cell r="BU8">
            <v>79481.520975000007</v>
          </cell>
          <cell r="BV8">
            <v>79481.520975000007</v>
          </cell>
          <cell r="BW8">
            <v>79481.520975000007</v>
          </cell>
          <cell r="BX8">
            <v>79481.520975000007</v>
          </cell>
          <cell r="BY8">
            <v>79481.520975000007</v>
          </cell>
          <cell r="BZ8">
            <v>79481.520975000007</v>
          </cell>
          <cell r="CA8">
            <v>79481.520975000007</v>
          </cell>
          <cell r="CB8">
            <v>79481.520975000007</v>
          </cell>
          <cell r="CC8">
            <v>79481.520975000007</v>
          </cell>
          <cell r="CD8">
            <v>79481.520975000007</v>
          </cell>
          <cell r="CE8">
            <v>79481.520975000007</v>
          </cell>
          <cell r="CF8">
            <v>79481.520975000007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çamento"/>
      <sheetName val="Custo investimento Lab"/>
      <sheetName val="Financiamento"/>
      <sheetName val="Água e luz"/>
      <sheetName val="Cálcul. trabalhado"/>
      <sheetName val="Cálculo kit higiene"/>
      <sheetName val="Equipe"/>
      <sheetName val="Orçamento máquinas"/>
      <sheetName val="Cronograma de ativ."/>
      <sheetName val="Cálcul. para definição benefic"/>
      <sheetName val="Benefícios Personal"/>
      <sheetName val="Benefícios aluno"/>
      <sheetName val="Manifesto"/>
      <sheetName val="Concorrentes"/>
      <sheetName val="Local"/>
      <sheetName val="Sistema"/>
    </sheetNames>
    <sheetDataSet>
      <sheetData sheetId="0">
        <row r="1">
          <cell r="C1">
            <v>47331</v>
          </cell>
          <cell r="D1">
            <v>47362</v>
          </cell>
          <cell r="E1">
            <v>47392</v>
          </cell>
          <cell r="F1">
            <v>47423</v>
          </cell>
          <cell r="G1">
            <v>47453</v>
          </cell>
          <cell r="H1">
            <v>47484</v>
          </cell>
          <cell r="I1">
            <v>47515</v>
          </cell>
          <cell r="J1">
            <v>47543</v>
          </cell>
          <cell r="K1">
            <v>47574</v>
          </cell>
          <cell r="L1">
            <v>47604</v>
          </cell>
          <cell r="M1">
            <v>47635</v>
          </cell>
          <cell r="N1">
            <v>47665</v>
          </cell>
          <cell r="O1">
            <v>47696</v>
          </cell>
          <cell r="P1">
            <v>47727</v>
          </cell>
          <cell r="Q1">
            <v>47757</v>
          </cell>
          <cell r="R1">
            <v>47788</v>
          </cell>
          <cell r="S1">
            <v>47818</v>
          </cell>
          <cell r="T1" t="str">
            <v>Total Acumulado Ano 1</v>
          </cell>
          <cell r="U1">
            <v>47849</v>
          </cell>
          <cell r="V1">
            <v>47880</v>
          </cell>
          <cell r="W1">
            <v>47908</v>
          </cell>
          <cell r="X1">
            <v>47939</v>
          </cell>
          <cell r="Y1">
            <v>47969</v>
          </cell>
          <cell r="Z1">
            <v>48000</v>
          </cell>
          <cell r="AA1">
            <v>48030</v>
          </cell>
          <cell r="AB1">
            <v>48061</v>
          </cell>
          <cell r="AC1">
            <v>48092</v>
          </cell>
          <cell r="AD1">
            <v>48122</v>
          </cell>
          <cell r="AE1">
            <v>48153</v>
          </cell>
          <cell r="AF1">
            <v>48183</v>
          </cell>
          <cell r="AG1" t="str">
            <v>Total Acumulado Ano 2</v>
          </cell>
          <cell r="AH1">
            <v>48214</v>
          </cell>
          <cell r="AI1">
            <v>48245</v>
          </cell>
          <cell r="AJ1">
            <v>48274</v>
          </cell>
          <cell r="AK1">
            <v>48305</v>
          </cell>
          <cell r="AL1">
            <v>48335</v>
          </cell>
          <cell r="AM1">
            <v>48366</v>
          </cell>
          <cell r="AN1">
            <v>48396</v>
          </cell>
          <cell r="AO1">
            <v>48427</v>
          </cell>
          <cell r="AP1">
            <v>48458</v>
          </cell>
          <cell r="AQ1">
            <v>48488</v>
          </cell>
          <cell r="AR1">
            <v>48519</v>
          </cell>
          <cell r="AS1">
            <v>48549</v>
          </cell>
          <cell r="AT1" t="str">
            <v>Total Acumulado Ano 3</v>
          </cell>
          <cell r="AU1">
            <v>48580</v>
          </cell>
          <cell r="AV1">
            <v>48611</v>
          </cell>
          <cell r="AW1">
            <v>48639</v>
          </cell>
          <cell r="AX1">
            <v>48670</v>
          </cell>
          <cell r="AY1">
            <v>48700</v>
          </cell>
          <cell r="AZ1">
            <v>48731</v>
          </cell>
          <cell r="BA1">
            <v>48761</v>
          </cell>
          <cell r="BB1">
            <v>48792</v>
          </cell>
          <cell r="BC1">
            <v>48823</v>
          </cell>
          <cell r="BD1">
            <v>48853</v>
          </cell>
          <cell r="BE1">
            <v>48884</v>
          </cell>
          <cell r="BF1">
            <v>48914</v>
          </cell>
          <cell r="BG1" t="str">
            <v>Total Acumulado Ano 4</v>
          </cell>
          <cell r="BH1">
            <v>48945</v>
          </cell>
          <cell r="BI1">
            <v>48976</v>
          </cell>
          <cell r="BJ1">
            <v>49004</v>
          </cell>
          <cell r="BK1">
            <v>49035</v>
          </cell>
          <cell r="BL1">
            <v>49065</v>
          </cell>
          <cell r="BM1">
            <v>49096</v>
          </cell>
          <cell r="BN1">
            <v>49126</v>
          </cell>
          <cell r="BO1">
            <v>49157</v>
          </cell>
          <cell r="BP1">
            <v>49188</v>
          </cell>
          <cell r="BQ1">
            <v>49218</v>
          </cell>
          <cell r="BR1">
            <v>49249</v>
          </cell>
          <cell r="BS1">
            <v>49279</v>
          </cell>
          <cell r="BT1" t="str">
            <v>Total Acumulado Ano 5</v>
          </cell>
          <cell r="BU1">
            <v>49310</v>
          </cell>
          <cell r="BV1">
            <v>49341</v>
          </cell>
          <cell r="BW1">
            <v>49369</v>
          </cell>
          <cell r="BX1">
            <v>49400</v>
          </cell>
          <cell r="BY1">
            <v>49430</v>
          </cell>
          <cell r="BZ1">
            <v>49461</v>
          </cell>
          <cell r="CA1">
            <v>49491</v>
          </cell>
          <cell r="CB1">
            <v>49522</v>
          </cell>
          <cell r="CC1">
            <v>49553</v>
          </cell>
          <cell r="CD1">
            <v>49583</v>
          </cell>
          <cell r="CE1">
            <v>49614</v>
          </cell>
          <cell r="CF1">
            <v>49644</v>
          </cell>
          <cell r="CG1" t="str">
            <v>Total Acumulado Ano 6</v>
          </cell>
        </row>
        <row r="2">
          <cell r="C2">
            <v>0</v>
          </cell>
          <cell r="D2">
            <v>0</v>
          </cell>
          <cell r="E2">
            <v>0</v>
          </cell>
          <cell r="F2">
            <v>2453.8125</v>
          </cell>
          <cell r="G2">
            <v>4907.625</v>
          </cell>
          <cell r="H2">
            <v>26432.749999999996</v>
          </cell>
          <cell r="I2">
            <v>26432.749999999996</v>
          </cell>
          <cell r="J2">
            <v>26432.749999999996</v>
          </cell>
          <cell r="K2">
            <v>26432.749999999996</v>
          </cell>
          <cell r="L2">
            <v>26432.749999999996</v>
          </cell>
          <cell r="M2">
            <v>26432.749999999996</v>
          </cell>
          <cell r="N2">
            <v>26432.749999999996</v>
          </cell>
          <cell r="O2">
            <v>26432.749999999996</v>
          </cell>
          <cell r="P2">
            <v>26432.749999999996</v>
          </cell>
          <cell r="Q2">
            <v>26432.749999999996</v>
          </cell>
          <cell r="R2">
            <v>26432.749999999996</v>
          </cell>
          <cell r="S2">
            <v>26432.749999999996</v>
          </cell>
          <cell r="T2">
            <v>324554.4375</v>
          </cell>
          <cell r="U2">
            <v>55271.874999999993</v>
          </cell>
          <cell r="V2">
            <v>55271.874999999993</v>
          </cell>
          <cell r="W2">
            <v>55271.874999999993</v>
          </cell>
          <cell r="X2">
            <v>55271.874999999993</v>
          </cell>
          <cell r="Y2">
            <v>55271.874999999993</v>
          </cell>
          <cell r="Z2">
            <v>55271.874999999993</v>
          </cell>
          <cell r="AA2">
            <v>55271.874999999993</v>
          </cell>
          <cell r="AB2">
            <v>55271.874999999993</v>
          </cell>
          <cell r="AC2">
            <v>55271.874999999993</v>
          </cell>
          <cell r="AD2">
            <v>55271.874999999993</v>
          </cell>
          <cell r="AE2">
            <v>55271.874999999993</v>
          </cell>
          <cell r="AF2">
            <v>55271.874999999993</v>
          </cell>
          <cell r="AG2">
            <v>987816.9375</v>
          </cell>
          <cell r="AH2">
            <v>88435</v>
          </cell>
          <cell r="AI2">
            <v>88435</v>
          </cell>
          <cell r="AJ2">
            <v>88435</v>
          </cell>
          <cell r="AK2">
            <v>88435</v>
          </cell>
          <cell r="AL2">
            <v>88435</v>
          </cell>
          <cell r="AM2">
            <v>88435</v>
          </cell>
          <cell r="AN2">
            <v>88435</v>
          </cell>
          <cell r="AO2">
            <v>88435</v>
          </cell>
          <cell r="AP2">
            <v>88435</v>
          </cell>
          <cell r="AQ2">
            <v>88435</v>
          </cell>
          <cell r="AR2">
            <v>88435</v>
          </cell>
          <cell r="AS2">
            <v>88435</v>
          </cell>
          <cell r="AT2">
            <v>2049036.9375</v>
          </cell>
          <cell r="AU2">
            <v>110543.74999999999</v>
          </cell>
          <cell r="AV2">
            <v>110543.74999999999</v>
          </cell>
          <cell r="AW2">
            <v>110543.74999999999</v>
          </cell>
          <cell r="AX2">
            <v>110543.74999999999</v>
          </cell>
          <cell r="AY2">
            <v>110543.74999999999</v>
          </cell>
          <cell r="AZ2">
            <v>110543.74999999999</v>
          </cell>
          <cell r="BA2">
            <v>110543.74999999999</v>
          </cell>
          <cell r="BB2">
            <v>110543.74999999999</v>
          </cell>
          <cell r="BC2">
            <v>110543.74999999999</v>
          </cell>
          <cell r="BD2">
            <v>110543.74999999999</v>
          </cell>
          <cell r="BE2">
            <v>110543.74999999999</v>
          </cell>
          <cell r="BF2">
            <v>110543.74999999999</v>
          </cell>
          <cell r="BG2">
            <v>3375561.9375</v>
          </cell>
          <cell r="BH2">
            <v>132652.49999999997</v>
          </cell>
          <cell r="BI2">
            <v>132652.49999999997</v>
          </cell>
          <cell r="BJ2">
            <v>132652.49999999997</v>
          </cell>
          <cell r="BK2">
            <v>132652.49999999997</v>
          </cell>
          <cell r="BL2">
            <v>132652.49999999997</v>
          </cell>
          <cell r="BM2">
            <v>132652.49999999997</v>
          </cell>
          <cell r="BN2">
            <v>132652.49999999997</v>
          </cell>
          <cell r="BO2">
            <v>132652.49999999997</v>
          </cell>
          <cell r="BP2">
            <v>132652.49999999997</v>
          </cell>
          <cell r="BQ2">
            <v>132652.49999999997</v>
          </cell>
          <cell r="BR2">
            <v>132652.49999999997</v>
          </cell>
          <cell r="BS2">
            <v>132652.49999999997</v>
          </cell>
          <cell r="BT2">
            <v>4967391.9375</v>
          </cell>
          <cell r="BU2">
            <v>154761.24999999997</v>
          </cell>
          <cell r="BV2">
            <v>154761.24999999997</v>
          </cell>
          <cell r="BW2">
            <v>154761.24999999997</v>
          </cell>
          <cell r="BX2">
            <v>154761.24999999997</v>
          </cell>
          <cell r="BY2">
            <v>154761.24999999997</v>
          </cell>
          <cell r="BZ2">
            <v>154761.24999999997</v>
          </cell>
          <cell r="CA2">
            <v>154761.24999999997</v>
          </cell>
          <cell r="CB2">
            <v>154761.24999999997</v>
          </cell>
          <cell r="CC2">
            <v>154761.24999999997</v>
          </cell>
          <cell r="CD2">
            <v>154761.24999999997</v>
          </cell>
          <cell r="CE2">
            <v>154761.24999999997</v>
          </cell>
          <cell r="CF2">
            <v>154761.24999999997</v>
          </cell>
          <cell r="CG2">
            <v>6824526.9375</v>
          </cell>
        </row>
        <row r="8">
          <cell r="C8">
            <v>19000</v>
          </cell>
          <cell r="D8">
            <v>19000</v>
          </cell>
          <cell r="E8">
            <v>820905.66</v>
          </cell>
          <cell r="F8">
            <v>30175.795625000002</v>
          </cell>
          <cell r="G8">
            <v>30323.024375000001</v>
          </cell>
          <cell r="H8">
            <v>32456.311250000002</v>
          </cell>
          <cell r="I8">
            <v>32456.311250000002</v>
          </cell>
          <cell r="J8">
            <v>32456.311250000002</v>
          </cell>
          <cell r="K8">
            <v>32456.311250000002</v>
          </cell>
          <cell r="L8">
            <v>32756.311250000002</v>
          </cell>
          <cell r="M8">
            <v>32756.311250000002</v>
          </cell>
          <cell r="N8">
            <v>32756.311250000002</v>
          </cell>
          <cell r="O8">
            <v>32756.311250000002</v>
          </cell>
          <cell r="P8">
            <v>32756.311250000002</v>
          </cell>
          <cell r="Q8">
            <v>32756.311250000002</v>
          </cell>
          <cell r="R8">
            <v>32756.311250000002</v>
          </cell>
          <cell r="S8">
            <v>32756.311250000002</v>
          </cell>
          <cell r="U8">
            <v>38689.228125000001</v>
          </cell>
          <cell r="V8">
            <v>38689.228125000001</v>
          </cell>
          <cell r="W8">
            <v>44398.8128125</v>
          </cell>
          <cell r="X8">
            <v>44398.8128125</v>
          </cell>
          <cell r="Y8">
            <v>44398.8128125</v>
          </cell>
          <cell r="Z8">
            <v>44398.8128125</v>
          </cell>
          <cell r="AA8">
            <v>44398.8128125</v>
          </cell>
          <cell r="AB8">
            <v>44398.8128125</v>
          </cell>
          <cell r="AC8">
            <v>44398.8128125</v>
          </cell>
          <cell r="AD8">
            <v>44398.8128125</v>
          </cell>
          <cell r="AE8">
            <v>44398.8128125</v>
          </cell>
          <cell r="AF8">
            <v>44398.8128125</v>
          </cell>
          <cell r="AH8">
            <v>54521.360500000003</v>
          </cell>
          <cell r="AI8">
            <v>54521.360500000003</v>
          </cell>
          <cell r="AJ8">
            <v>54521.360500000003</v>
          </cell>
          <cell r="AK8">
            <v>54521.360500000003</v>
          </cell>
          <cell r="AL8">
            <v>54521.360500000003</v>
          </cell>
          <cell r="AM8">
            <v>54521.360500000003</v>
          </cell>
          <cell r="AN8">
            <v>54521.360500000003</v>
          </cell>
          <cell r="AO8">
            <v>54521.360500000003</v>
          </cell>
          <cell r="AP8">
            <v>54521.360500000003</v>
          </cell>
          <cell r="AQ8">
            <v>54521.360500000003</v>
          </cell>
          <cell r="AR8">
            <v>54521.360500000003</v>
          </cell>
          <cell r="AS8">
            <v>54521.360500000003</v>
          </cell>
          <cell r="AU8">
            <v>62514.935625000013</v>
          </cell>
          <cell r="AV8">
            <v>62514.935625000013</v>
          </cell>
          <cell r="AW8">
            <v>62514.935625000013</v>
          </cell>
          <cell r="AX8">
            <v>62514.935625000013</v>
          </cell>
          <cell r="AY8">
            <v>62514.935625000013</v>
          </cell>
          <cell r="AZ8">
            <v>62514.935625000013</v>
          </cell>
          <cell r="BA8">
            <v>62514.935625000013</v>
          </cell>
          <cell r="BB8">
            <v>62514.935625000013</v>
          </cell>
          <cell r="BC8">
            <v>62514.935625000013</v>
          </cell>
          <cell r="BD8">
            <v>62514.935625000013</v>
          </cell>
          <cell r="BE8">
            <v>62514.935625000013</v>
          </cell>
          <cell r="BF8">
            <v>62514.935625000013</v>
          </cell>
          <cell r="BH8">
            <v>71406.815350000004</v>
          </cell>
          <cell r="BI8">
            <v>71406.815350000004</v>
          </cell>
          <cell r="BJ8">
            <v>71406.815350000004</v>
          </cell>
          <cell r="BK8">
            <v>71406.815350000004</v>
          </cell>
          <cell r="BL8">
            <v>71406.815350000004</v>
          </cell>
          <cell r="BM8">
            <v>71406.815350000004</v>
          </cell>
          <cell r="BN8">
            <v>71406.815350000004</v>
          </cell>
          <cell r="BO8">
            <v>71406.815350000004</v>
          </cell>
          <cell r="BP8">
            <v>71406.815350000004</v>
          </cell>
          <cell r="BQ8">
            <v>71406.815350000004</v>
          </cell>
          <cell r="BR8">
            <v>71406.815350000004</v>
          </cell>
          <cell r="BS8">
            <v>71406.815350000004</v>
          </cell>
          <cell r="BU8">
            <v>79481.520975000007</v>
          </cell>
          <cell r="BV8">
            <v>79481.520975000007</v>
          </cell>
          <cell r="BW8">
            <v>79481.520975000007</v>
          </cell>
          <cell r="BX8">
            <v>79481.520975000007</v>
          </cell>
          <cell r="BY8">
            <v>79481.520975000007</v>
          </cell>
          <cell r="BZ8">
            <v>79481.520975000007</v>
          </cell>
          <cell r="CA8">
            <v>79481.520975000007</v>
          </cell>
          <cell r="CB8">
            <v>79481.520975000007</v>
          </cell>
          <cell r="CC8">
            <v>79481.520975000007</v>
          </cell>
          <cell r="CD8">
            <v>79481.520975000007</v>
          </cell>
          <cell r="CE8">
            <v>79481.520975000007</v>
          </cell>
          <cell r="CF8">
            <v>79481.520975000007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çamento"/>
      <sheetName val="Custo investimento "/>
      <sheetName val="Financiamento"/>
      <sheetName val="Água e luz"/>
      <sheetName val="Cálcul. trabalhado"/>
      <sheetName val="Cálculo kit higiene"/>
      <sheetName val="Equipe"/>
      <sheetName val="Orçamento máquinas"/>
      <sheetName val="Cronograma de ativ."/>
      <sheetName val="Cálcul. para definição benefic"/>
      <sheetName val="Fórmulas fee para split"/>
      <sheetName val="Benefícios Personal"/>
      <sheetName val="Benefícios aluno"/>
      <sheetName val="Manifesto"/>
      <sheetName val="Concorrentes"/>
      <sheetName val="Local"/>
      <sheetName val="Sistema"/>
    </sheetNames>
    <sheetDataSet>
      <sheetData sheetId="0">
        <row r="1">
          <cell r="C1">
            <v>47484</v>
          </cell>
          <cell r="D1">
            <v>47515</v>
          </cell>
          <cell r="E1">
            <v>47543</v>
          </cell>
          <cell r="F1">
            <v>47574</v>
          </cell>
          <cell r="G1">
            <v>47604</v>
          </cell>
          <cell r="H1">
            <v>47635</v>
          </cell>
          <cell r="I1">
            <v>47665</v>
          </cell>
          <cell r="J1">
            <v>47696</v>
          </cell>
          <cell r="K1">
            <v>47727</v>
          </cell>
          <cell r="L1">
            <v>47757</v>
          </cell>
          <cell r="M1">
            <v>47788</v>
          </cell>
          <cell r="N1">
            <v>47818</v>
          </cell>
          <cell r="T1" t="str">
            <v>Total Acumulado Ano 1</v>
          </cell>
          <cell r="U1">
            <v>47849</v>
          </cell>
          <cell r="V1">
            <v>47880</v>
          </cell>
          <cell r="W1">
            <v>47908</v>
          </cell>
          <cell r="X1">
            <v>47939</v>
          </cell>
          <cell r="Y1">
            <v>47969</v>
          </cell>
          <cell r="Z1">
            <v>48000</v>
          </cell>
          <cell r="AA1">
            <v>48030</v>
          </cell>
          <cell r="AB1">
            <v>48061</v>
          </cell>
          <cell r="AC1">
            <v>48092</v>
          </cell>
          <cell r="AD1">
            <v>48122</v>
          </cell>
          <cell r="AE1">
            <v>48153</v>
          </cell>
          <cell r="AF1">
            <v>48183</v>
          </cell>
          <cell r="AG1" t="str">
            <v>Total Acumulado Ano 2</v>
          </cell>
          <cell r="AH1">
            <v>48214</v>
          </cell>
          <cell r="AI1">
            <v>48245</v>
          </cell>
          <cell r="AJ1">
            <v>48274</v>
          </cell>
          <cell r="AK1">
            <v>48305</v>
          </cell>
          <cell r="AL1">
            <v>48335</v>
          </cell>
          <cell r="AM1">
            <v>48366</v>
          </cell>
          <cell r="AN1">
            <v>48396</v>
          </cell>
          <cell r="AO1">
            <v>48427</v>
          </cell>
          <cell r="AP1">
            <v>48458</v>
          </cell>
          <cell r="AQ1">
            <v>48488</v>
          </cell>
          <cell r="AR1">
            <v>48519</v>
          </cell>
          <cell r="AS1">
            <v>48549</v>
          </cell>
          <cell r="AT1" t="str">
            <v>Total Acumulado Ano 3</v>
          </cell>
          <cell r="AU1">
            <v>48580</v>
          </cell>
          <cell r="AV1">
            <v>48611</v>
          </cell>
          <cell r="AW1">
            <v>48639</v>
          </cell>
          <cell r="AX1">
            <v>48670</v>
          </cell>
          <cell r="AY1">
            <v>48700</v>
          </cell>
          <cell r="AZ1">
            <v>48731</v>
          </cell>
          <cell r="BA1">
            <v>48761</v>
          </cell>
          <cell r="BB1">
            <v>48792</v>
          </cell>
          <cell r="BC1">
            <v>48823</v>
          </cell>
          <cell r="BD1">
            <v>48853</v>
          </cell>
          <cell r="BE1">
            <v>48884</v>
          </cell>
          <cell r="BF1">
            <v>48914</v>
          </cell>
          <cell r="BG1" t="str">
            <v>Total Acumulado Ano 4</v>
          </cell>
          <cell r="BH1">
            <v>48945</v>
          </cell>
          <cell r="BI1">
            <v>48976</v>
          </cell>
          <cell r="BJ1">
            <v>49004</v>
          </cell>
          <cell r="BK1">
            <v>49035</v>
          </cell>
          <cell r="BL1">
            <v>49065</v>
          </cell>
          <cell r="BM1">
            <v>49096</v>
          </cell>
          <cell r="BN1">
            <v>49126</v>
          </cell>
          <cell r="BO1">
            <v>49157</v>
          </cell>
          <cell r="BP1">
            <v>49188</v>
          </cell>
          <cell r="BQ1">
            <v>49218</v>
          </cell>
          <cell r="BR1">
            <v>49249</v>
          </cell>
          <cell r="BS1">
            <v>49279</v>
          </cell>
          <cell r="BT1" t="str">
            <v>Total Acumulado Ano 5</v>
          </cell>
          <cell r="BU1">
            <v>49310</v>
          </cell>
          <cell r="BV1">
            <v>49341</v>
          </cell>
          <cell r="BW1">
            <v>49369</v>
          </cell>
          <cell r="BX1">
            <v>49400</v>
          </cell>
          <cell r="BY1">
            <v>49430</v>
          </cell>
          <cell r="BZ1">
            <v>49461</v>
          </cell>
          <cell r="CA1">
            <v>49491</v>
          </cell>
          <cell r="CB1">
            <v>49522</v>
          </cell>
          <cell r="CC1">
            <v>49553</v>
          </cell>
          <cell r="CD1">
            <v>49583</v>
          </cell>
          <cell r="CE1">
            <v>49614</v>
          </cell>
          <cell r="CF1">
            <v>49644</v>
          </cell>
          <cell r="CG1" t="str">
            <v>Total Acumulado Ano 6</v>
          </cell>
        </row>
        <row r="2">
          <cell r="C2">
            <v>0</v>
          </cell>
          <cell r="D2">
            <v>0</v>
          </cell>
          <cell r="E2">
            <v>0</v>
          </cell>
          <cell r="F2">
            <v>2453.8125</v>
          </cell>
          <cell r="G2">
            <v>4907.625</v>
          </cell>
          <cell r="H2">
            <v>26432.749999999996</v>
          </cell>
          <cell r="I2">
            <v>26432.749999999996</v>
          </cell>
          <cell r="J2">
            <v>26432.749999999996</v>
          </cell>
          <cell r="K2">
            <v>26432.749999999996</v>
          </cell>
          <cell r="L2">
            <v>26432.749999999996</v>
          </cell>
          <cell r="M2">
            <v>26432.749999999996</v>
          </cell>
          <cell r="N2">
            <v>26432.749999999996</v>
          </cell>
          <cell r="T2">
            <v>192390.6875</v>
          </cell>
          <cell r="U2">
            <v>55271.874999999993</v>
          </cell>
          <cell r="V2">
            <v>55271.874999999993</v>
          </cell>
          <cell r="W2">
            <v>55271.874999999993</v>
          </cell>
          <cell r="X2">
            <v>55271.874999999993</v>
          </cell>
          <cell r="Y2">
            <v>55271.874999999993</v>
          </cell>
          <cell r="Z2">
            <v>55271.874999999993</v>
          </cell>
          <cell r="AA2">
            <v>55271.874999999993</v>
          </cell>
          <cell r="AB2">
            <v>55271.874999999993</v>
          </cell>
          <cell r="AC2">
            <v>55271.874999999993</v>
          </cell>
          <cell r="AD2">
            <v>55271.874999999993</v>
          </cell>
          <cell r="AE2">
            <v>55271.874999999993</v>
          </cell>
          <cell r="AF2">
            <v>55271.874999999993</v>
          </cell>
          <cell r="AG2">
            <v>855653.1875</v>
          </cell>
          <cell r="AH2">
            <v>88435</v>
          </cell>
          <cell r="AI2">
            <v>88435</v>
          </cell>
          <cell r="AJ2">
            <v>88435</v>
          </cell>
          <cell r="AK2">
            <v>88435</v>
          </cell>
          <cell r="AL2">
            <v>88435</v>
          </cell>
          <cell r="AM2">
            <v>88435</v>
          </cell>
          <cell r="AN2">
            <v>88435</v>
          </cell>
          <cell r="AO2">
            <v>88435</v>
          </cell>
          <cell r="AP2">
            <v>88435</v>
          </cell>
          <cell r="AQ2">
            <v>88435</v>
          </cell>
          <cell r="AR2">
            <v>88435</v>
          </cell>
          <cell r="AS2">
            <v>88435</v>
          </cell>
          <cell r="AT2">
            <v>1916873.1875</v>
          </cell>
          <cell r="AU2">
            <v>110543.74999999999</v>
          </cell>
          <cell r="AV2">
            <v>110543.74999999999</v>
          </cell>
          <cell r="AW2">
            <v>110543.74999999999</v>
          </cell>
          <cell r="AX2">
            <v>110543.74999999999</v>
          </cell>
          <cell r="AY2">
            <v>110543.74999999999</v>
          </cell>
          <cell r="AZ2">
            <v>110543.74999999999</v>
          </cell>
          <cell r="BA2">
            <v>110543.74999999999</v>
          </cell>
          <cell r="BB2">
            <v>110543.74999999999</v>
          </cell>
          <cell r="BC2">
            <v>110543.74999999999</v>
          </cell>
          <cell r="BD2">
            <v>110543.74999999999</v>
          </cell>
          <cell r="BE2">
            <v>110543.74999999999</v>
          </cell>
          <cell r="BF2">
            <v>110543.74999999999</v>
          </cell>
          <cell r="BG2">
            <v>3243398.1875</v>
          </cell>
          <cell r="BH2">
            <v>132652.49999999997</v>
          </cell>
          <cell r="BI2">
            <v>132652.49999999997</v>
          </cell>
          <cell r="BJ2">
            <v>132652.49999999997</v>
          </cell>
          <cell r="BK2">
            <v>132652.49999999997</v>
          </cell>
          <cell r="BL2">
            <v>132652.49999999997</v>
          </cell>
          <cell r="BM2">
            <v>132652.49999999997</v>
          </cell>
          <cell r="BN2">
            <v>132652.49999999997</v>
          </cell>
          <cell r="BO2">
            <v>132652.49999999997</v>
          </cell>
          <cell r="BP2">
            <v>132652.49999999997</v>
          </cell>
          <cell r="BQ2">
            <v>132652.49999999997</v>
          </cell>
          <cell r="BR2">
            <v>132652.49999999997</v>
          </cell>
          <cell r="BS2">
            <v>132652.49999999997</v>
          </cell>
          <cell r="BT2">
            <v>4835228.1875</v>
          </cell>
          <cell r="BU2">
            <v>154761.24999999997</v>
          </cell>
          <cell r="BV2">
            <v>154761.24999999997</v>
          </cell>
          <cell r="BW2">
            <v>154761.24999999997</v>
          </cell>
          <cell r="BX2">
            <v>154761.24999999997</v>
          </cell>
          <cell r="BY2">
            <v>154761.24999999997</v>
          </cell>
          <cell r="BZ2">
            <v>154761.24999999997</v>
          </cell>
          <cell r="CA2">
            <v>154761.24999999997</v>
          </cell>
          <cell r="CB2">
            <v>154761.24999999997</v>
          </cell>
          <cell r="CC2">
            <v>154761.24999999997</v>
          </cell>
          <cell r="CD2">
            <v>154761.24999999997</v>
          </cell>
          <cell r="CE2">
            <v>154761.24999999997</v>
          </cell>
          <cell r="CF2">
            <v>154761.24999999997</v>
          </cell>
          <cell r="CG2">
            <v>6692363.1875</v>
          </cell>
        </row>
        <row r="8">
          <cell r="C8">
            <v>19000</v>
          </cell>
          <cell r="D8">
            <v>19000</v>
          </cell>
          <cell r="E8">
            <v>820905.66</v>
          </cell>
          <cell r="F8">
            <v>30175.795625000002</v>
          </cell>
          <cell r="G8">
            <v>30323.024375000001</v>
          </cell>
          <cell r="H8">
            <v>32456.311250000002</v>
          </cell>
          <cell r="I8">
            <v>32456.311250000002</v>
          </cell>
          <cell r="J8">
            <v>32456.311250000002</v>
          </cell>
          <cell r="K8">
            <v>32456.311250000002</v>
          </cell>
          <cell r="L8">
            <v>32756.311250000002</v>
          </cell>
          <cell r="M8">
            <v>32756.311250000002</v>
          </cell>
          <cell r="N8">
            <v>32756.311250000002</v>
          </cell>
          <cell r="U8">
            <v>38689.228125000001</v>
          </cell>
          <cell r="V8">
            <v>38689.228125000001</v>
          </cell>
          <cell r="W8">
            <v>44398.8128125</v>
          </cell>
          <cell r="X8">
            <v>44398.8128125</v>
          </cell>
          <cell r="Y8">
            <v>44398.8128125</v>
          </cell>
          <cell r="Z8">
            <v>44398.8128125</v>
          </cell>
          <cell r="AA8">
            <v>44398.8128125</v>
          </cell>
          <cell r="AB8">
            <v>44398.8128125</v>
          </cell>
          <cell r="AC8">
            <v>44398.8128125</v>
          </cell>
          <cell r="AD8">
            <v>44398.8128125</v>
          </cell>
          <cell r="AE8">
            <v>44398.8128125</v>
          </cell>
          <cell r="AF8">
            <v>44398.8128125</v>
          </cell>
          <cell r="AH8">
            <v>54521.360500000003</v>
          </cell>
          <cell r="AI8">
            <v>54521.360500000003</v>
          </cell>
          <cell r="AJ8">
            <v>54521.360500000003</v>
          </cell>
          <cell r="AK8">
            <v>54521.360500000003</v>
          </cell>
          <cell r="AL8">
            <v>54521.360500000003</v>
          </cell>
          <cell r="AM8">
            <v>54521.360500000003</v>
          </cell>
          <cell r="AN8">
            <v>54521.360500000003</v>
          </cell>
          <cell r="AO8">
            <v>54521.360500000003</v>
          </cell>
          <cell r="AP8">
            <v>54521.360500000003</v>
          </cell>
          <cell r="AQ8">
            <v>54521.360500000003</v>
          </cell>
          <cell r="AR8">
            <v>54521.360500000003</v>
          </cell>
          <cell r="AS8">
            <v>54521.360500000003</v>
          </cell>
          <cell r="AU8">
            <v>62514.935625000013</v>
          </cell>
          <cell r="AV8">
            <v>62514.935625000013</v>
          </cell>
          <cell r="AW8">
            <v>62514.935625000013</v>
          </cell>
          <cell r="AX8">
            <v>62514.935625000013</v>
          </cell>
          <cell r="AY8">
            <v>62514.935625000013</v>
          </cell>
          <cell r="AZ8">
            <v>62514.935625000013</v>
          </cell>
          <cell r="BA8">
            <v>62514.935625000013</v>
          </cell>
          <cell r="BB8">
            <v>62514.935625000013</v>
          </cell>
          <cell r="BC8">
            <v>62514.935625000013</v>
          </cell>
          <cell r="BD8">
            <v>62514.935625000013</v>
          </cell>
          <cell r="BE8">
            <v>62514.935625000013</v>
          </cell>
          <cell r="BF8">
            <v>62514.935625000013</v>
          </cell>
          <cell r="BH8">
            <v>71406.815350000004</v>
          </cell>
          <cell r="BI8">
            <v>71406.815350000004</v>
          </cell>
          <cell r="BJ8">
            <v>71406.815350000004</v>
          </cell>
          <cell r="BK8">
            <v>71406.815350000004</v>
          </cell>
          <cell r="BL8">
            <v>71406.815350000004</v>
          </cell>
          <cell r="BM8">
            <v>71406.815350000004</v>
          </cell>
          <cell r="BN8">
            <v>71406.815350000004</v>
          </cell>
          <cell r="BO8">
            <v>71406.815350000004</v>
          </cell>
          <cell r="BP8">
            <v>71406.815350000004</v>
          </cell>
          <cell r="BQ8">
            <v>71406.815350000004</v>
          </cell>
          <cell r="BR8">
            <v>71406.815350000004</v>
          </cell>
          <cell r="BS8">
            <v>71406.815350000004</v>
          </cell>
          <cell r="BU8">
            <v>79481.520975000007</v>
          </cell>
          <cell r="BV8">
            <v>79481.520975000007</v>
          </cell>
          <cell r="BW8">
            <v>79481.520975000007</v>
          </cell>
          <cell r="BX8">
            <v>79481.520975000007</v>
          </cell>
          <cell r="BY8">
            <v>79481.520975000007</v>
          </cell>
          <cell r="BZ8">
            <v>79481.520975000007</v>
          </cell>
          <cell r="CA8">
            <v>79481.520975000007</v>
          </cell>
          <cell r="CB8">
            <v>79481.520975000007</v>
          </cell>
          <cell r="CC8">
            <v>79481.520975000007</v>
          </cell>
          <cell r="CD8">
            <v>79481.520975000007</v>
          </cell>
          <cell r="CE8">
            <v>79481.520975000007</v>
          </cell>
          <cell r="CF8">
            <v>79481.520975000007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çamento"/>
      <sheetName val="Custo investimento Lab"/>
      <sheetName val="Financiamento"/>
      <sheetName val="Água e luz"/>
      <sheetName val="Cálcul. trabalhado"/>
      <sheetName val="Cálculo kit higiene"/>
      <sheetName val="Equipe"/>
      <sheetName val="Orçamento máquinas"/>
      <sheetName val="Cronograma de ativ."/>
      <sheetName val="Cálcul. para definição benefic"/>
      <sheetName val="Benefícios Personal"/>
      <sheetName val="Benefícios aluno"/>
      <sheetName val="Manifesto"/>
      <sheetName val="Concorrentes"/>
      <sheetName val="Local"/>
      <sheetName val="Sistema"/>
    </sheetNames>
    <sheetDataSet>
      <sheetData sheetId="0">
        <row r="1">
          <cell r="C1">
            <v>47696</v>
          </cell>
          <cell r="D1">
            <v>47727</v>
          </cell>
          <cell r="E1">
            <v>47757</v>
          </cell>
          <cell r="F1">
            <v>47788</v>
          </cell>
          <cell r="G1">
            <v>47818</v>
          </cell>
          <cell r="H1">
            <v>47849</v>
          </cell>
          <cell r="I1">
            <v>47880</v>
          </cell>
          <cell r="J1">
            <v>47908</v>
          </cell>
          <cell r="K1">
            <v>47939</v>
          </cell>
          <cell r="L1">
            <v>47969</v>
          </cell>
          <cell r="M1">
            <v>48000</v>
          </cell>
          <cell r="N1">
            <v>48030</v>
          </cell>
          <cell r="O1">
            <v>48061</v>
          </cell>
          <cell r="P1">
            <v>48092</v>
          </cell>
          <cell r="Q1">
            <v>48122</v>
          </cell>
          <cell r="R1">
            <v>48153</v>
          </cell>
          <cell r="S1">
            <v>48183</v>
          </cell>
          <cell r="T1" t="str">
            <v>Total Acumulado Ano 1</v>
          </cell>
          <cell r="U1">
            <v>48214</v>
          </cell>
          <cell r="V1">
            <v>48245</v>
          </cell>
          <cell r="W1">
            <v>48274</v>
          </cell>
          <cell r="X1">
            <v>48305</v>
          </cell>
          <cell r="Y1">
            <v>48335</v>
          </cell>
          <cell r="Z1">
            <v>48366</v>
          </cell>
          <cell r="AA1">
            <v>48396</v>
          </cell>
          <cell r="AB1">
            <v>48427</v>
          </cell>
          <cell r="AC1">
            <v>48458</v>
          </cell>
          <cell r="AD1">
            <v>48488</v>
          </cell>
          <cell r="AE1">
            <v>48519</v>
          </cell>
          <cell r="AF1">
            <v>48549</v>
          </cell>
          <cell r="AG1" t="str">
            <v>Total Acumulado Ano 2</v>
          </cell>
          <cell r="AH1">
            <v>48580</v>
          </cell>
          <cell r="AI1">
            <v>48611</v>
          </cell>
          <cell r="AJ1">
            <v>48639</v>
          </cell>
          <cell r="AK1">
            <v>48670</v>
          </cell>
          <cell r="AL1">
            <v>48700</v>
          </cell>
          <cell r="AM1">
            <v>48731</v>
          </cell>
          <cell r="AN1">
            <v>48761</v>
          </cell>
          <cell r="AO1">
            <v>48792</v>
          </cell>
          <cell r="AP1">
            <v>48823</v>
          </cell>
          <cell r="AQ1">
            <v>48853</v>
          </cell>
          <cell r="AR1">
            <v>48884</v>
          </cell>
          <cell r="AS1">
            <v>48914</v>
          </cell>
          <cell r="AT1" t="str">
            <v>Total Acumulado Ano 3</v>
          </cell>
          <cell r="AU1">
            <v>48945</v>
          </cell>
          <cell r="AV1">
            <v>48976</v>
          </cell>
          <cell r="AW1">
            <v>49004</v>
          </cell>
          <cell r="AX1">
            <v>49035</v>
          </cell>
          <cell r="AY1">
            <v>49065</v>
          </cell>
          <cell r="AZ1">
            <v>49096</v>
          </cell>
          <cell r="BA1">
            <v>49126</v>
          </cell>
          <cell r="BB1">
            <v>49157</v>
          </cell>
          <cell r="BC1">
            <v>49188</v>
          </cell>
          <cell r="BD1">
            <v>49218</v>
          </cell>
          <cell r="BE1">
            <v>49249</v>
          </cell>
          <cell r="BF1">
            <v>49279</v>
          </cell>
          <cell r="BG1" t="str">
            <v>Total Acumulado Ano 4</v>
          </cell>
          <cell r="BH1">
            <v>49310</v>
          </cell>
          <cell r="BI1">
            <v>49341</v>
          </cell>
          <cell r="BJ1">
            <v>49369</v>
          </cell>
          <cell r="BK1">
            <v>49400</v>
          </cell>
          <cell r="BL1">
            <v>49430</v>
          </cell>
          <cell r="BM1">
            <v>49461</v>
          </cell>
          <cell r="BN1">
            <v>49491</v>
          </cell>
          <cell r="BO1">
            <v>49522</v>
          </cell>
          <cell r="BP1">
            <v>49553</v>
          </cell>
          <cell r="BQ1">
            <v>49583</v>
          </cell>
          <cell r="BR1">
            <v>49614</v>
          </cell>
          <cell r="BS1">
            <v>49644</v>
          </cell>
          <cell r="BT1" t="str">
            <v>Total Acumulado Ano 5</v>
          </cell>
          <cell r="BU1">
            <v>49675</v>
          </cell>
          <cell r="BV1">
            <v>49706</v>
          </cell>
          <cell r="BW1">
            <v>49735</v>
          </cell>
          <cell r="BX1">
            <v>49766</v>
          </cell>
          <cell r="BY1">
            <v>49796</v>
          </cell>
          <cell r="BZ1">
            <v>49827</v>
          </cell>
          <cell r="CA1">
            <v>49857</v>
          </cell>
          <cell r="CB1">
            <v>49888</v>
          </cell>
          <cell r="CC1">
            <v>49919</v>
          </cell>
          <cell r="CD1">
            <v>49949</v>
          </cell>
          <cell r="CE1">
            <v>49980</v>
          </cell>
          <cell r="CF1">
            <v>50010</v>
          </cell>
          <cell r="CG1" t="str">
            <v>Total Acumulado Ano 6</v>
          </cell>
          <cell r="CH1" t="str">
            <v>Total acumulado pós custo capital</v>
          </cell>
        </row>
        <row r="2">
          <cell r="C2">
            <v>0</v>
          </cell>
          <cell r="D2">
            <v>0</v>
          </cell>
          <cell r="E2">
            <v>0</v>
          </cell>
          <cell r="F2">
            <v>2453.8125</v>
          </cell>
          <cell r="G2">
            <v>4907.625</v>
          </cell>
          <cell r="H2">
            <v>26432.749999999996</v>
          </cell>
          <cell r="I2">
            <v>26432.749999999996</v>
          </cell>
          <cell r="J2">
            <v>26432.749999999996</v>
          </cell>
          <cell r="K2">
            <v>26432.749999999996</v>
          </cell>
          <cell r="L2">
            <v>26432.749999999996</v>
          </cell>
          <cell r="M2">
            <v>26432.749999999996</v>
          </cell>
          <cell r="N2">
            <v>26432.749999999996</v>
          </cell>
          <cell r="O2">
            <v>26432.749999999996</v>
          </cell>
          <cell r="P2">
            <v>26432.749999999996</v>
          </cell>
          <cell r="Q2">
            <v>26432.749999999996</v>
          </cell>
          <cell r="R2">
            <v>26432.749999999996</v>
          </cell>
          <cell r="S2">
            <v>26432.749999999996</v>
          </cell>
          <cell r="T2">
            <v>324554.4375</v>
          </cell>
          <cell r="U2">
            <v>55271.874999999993</v>
          </cell>
          <cell r="V2">
            <v>55271.874999999993</v>
          </cell>
          <cell r="W2">
            <v>55271.874999999993</v>
          </cell>
          <cell r="X2">
            <v>55271.874999999993</v>
          </cell>
          <cell r="Y2">
            <v>55271.874999999993</v>
          </cell>
          <cell r="Z2">
            <v>55271.874999999993</v>
          </cell>
          <cell r="AA2">
            <v>55271.874999999993</v>
          </cell>
          <cell r="AB2">
            <v>55271.874999999993</v>
          </cell>
          <cell r="AC2">
            <v>55271.874999999993</v>
          </cell>
          <cell r="AD2">
            <v>55271.874999999993</v>
          </cell>
          <cell r="AE2">
            <v>55271.874999999993</v>
          </cell>
          <cell r="AF2">
            <v>55271.874999999993</v>
          </cell>
          <cell r="AG2">
            <v>987816.9375</v>
          </cell>
          <cell r="AH2">
            <v>88435</v>
          </cell>
          <cell r="AI2">
            <v>88435</v>
          </cell>
          <cell r="AJ2">
            <v>88435</v>
          </cell>
          <cell r="AK2">
            <v>88435</v>
          </cell>
          <cell r="AL2">
            <v>88435</v>
          </cell>
          <cell r="AM2">
            <v>88435</v>
          </cell>
          <cell r="AN2">
            <v>88435</v>
          </cell>
          <cell r="AO2">
            <v>88435</v>
          </cell>
          <cell r="AP2">
            <v>88435</v>
          </cell>
          <cell r="AQ2">
            <v>88435</v>
          </cell>
          <cell r="AR2">
            <v>88435</v>
          </cell>
          <cell r="AS2">
            <v>88435</v>
          </cell>
          <cell r="AT2">
            <v>2049036.9375</v>
          </cell>
          <cell r="AU2">
            <v>110543.74999999999</v>
          </cell>
          <cell r="AV2">
            <v>110543.74999999999</v>
          </cell>
          <cell r="AW2">
            <v>110543.74999999999</v>
          </cell>
          <cell r="AX2">
            <v>110543.74999999999</v>
          </cell>
          <cell r="AY2">
            <v>110543.74999999999</v>
          </cell>
          <cell r="AZ2">
            <v>110543.74999999999</v>
          </cell>
          <cell r="BA2">
            <v>110543.74999999999</v>
          </cell>
          <cell r="BB2">
            <v>110543.74999999999</v>
          </cell>
          <cell r="BC2">
            <v>110543.74999999999</v>
          </cell>
          <cell r="BD2">
            <v>110543.74999999999</v>
          </cell>
          <cell r="BE2">
            <v>110543.74999999999</v>
          </cell>
          <cell r="BF2">
            <v>110543.74999999999</v>
          </cell>
          <cell r="BG2">
            <v>3375561.9375</v>
          </cell>
          <cell r="BH2">
            <v>132652.49999999997</v>
          </cell>
          <cell r="BI2">
            <v>132652.49999999997</v>
          </cell>
          <cell r="BJ2">
            <v>132652.49999999997</v>
          </cell>
          <cell r="BK2">
            <v>132652.49999999997</v>
          </cell>
          <cell r="BL2">
            <v>132652.49999999997</v>
          </cell>
          <cell r="BM2">
            <v>132652.49999999997</v>
          </cell>
          <cell r="BN2">
            <v>132652.49999999997</v>
          </cell>
          <cell r="BO2">
            <v>132652.49999999997</v>
          </cell>
          <cell r="BP2">
            <v>132652.49999999997</v>
          </cell>
          <cell r="BQ2">
            <v>132652.49999999997</v>
          </cell>
          <cell r="BR2">
            <v>132652.49999999997</v>
          </cell>
          <cell r="BS2">
            <v>132652.49999999997</v>
          </cell>
          <cell r="BT2">
            <v>4967391.9375</v>
          </cell>
          <cell r="BU2">
            <v>154761.24999999997</v>
          </cell>
          <cell r="BV2">
            <v>154761.24999999997</v>
          </cell>
          <cell r="BW2">
            <v>154761.24999999997</v>
          </cell>
          <cell r="BX2">
            <v>154761.24999999997</v>
          </cell>
          <cell r="BY2">
            <v>154761.24999999997</v>
          </cell>
          <cell r="BZ2">
            <v>154761.24999999997</v>
          </cell>
          <cell r="CA2">
            <v>154761.24999999997</v>
          </cell>
          <cell r="CB2">
            <v>154761.24999999997</v>
          </cell>
          <cell r="CC2">
            <v>154761.24999999997</v>
          </cell>
          <cell r="CD2">
            <v>154761.24999999997</v>
          </cell>
          <cell r="CE2">
            <v>154761.24999999997</v>
          </cell>
          <cell r="CF2">
            <v>154761.24999999997</v>
          </cell>
          <cell r="CG2">
            <v>6824526.9375</v>
          </cell>
        </row>
        <row r="8">
          <cell r="C8">
            <v>19000</v>
          </cell>
          <cell r="D8">
            <v>19000</v>
          </cell>
          <cell r="E8">
            <v>820905.66</v>
          </cell>
          <cell r="F8">
            <v>30175.795625000002</v>
          </cell>
          <cell r="G8">
            <v>30323.024375000001</v>
          </cell>
          <cell r="H8">
            <v>32456.311250000002</v>
          </cell>
          <cell r="I8">
            <v>32456.311250000002</v>
          </cell>
          <cell r="J8">
            <v>32456.311250000002</v>
          </cell>
          <cell r="K8">
            <v>32456.311250000002</v>
          </cell>
          <cell r="L8">
            <v>32756.311250000002</v>
          </cell>
          <cell r="M8">
            <v>32756.311250000002</v>
          </cell>
          <cell r="N8">
            <v>32756.311250000002</v>
          </cell>
          <cell r="O8">
            <v>32756.311250000002</v>
          </cell>
          <cell r="P8">
            <v>32756.311250000002</v>
          </cell>
          <cell r="Q8">
            <v>32756.311250000002</v>
          </cell>
          <cell r="R8">
            <v>32756.311250000002</v>
          </cell>
          <cell r="S8">
            <v>32756.311250000002</v>
          </cell>
          <cell r="U8">
            <v>38689.228125000001</v>
          </cell>
          <cell r="V8">
            <v>38689.228125000001</v>
          </cell>
          <cell r="W8">
            <v>44398.8128125</v>
          </cell>
          <cell r="X8">
            <v>44398.8128125</v>
          </cell>
          <cell r="Y8">
            <v>44398.8128125</v>
          </cell>
          <cell r="Z8">
            <v>44398.8128125</v>
          </cell>
          <cell r="AA8">
            <v>44398.8128125</v>
          </cell>
          <cell r="AB8">
            <v>44398.8128125</v>
          </cell>
          <cell r="AC8">
            <v>44398.8128125</v>
          </cell>
          <cell r="AD8">
            <v>44398.8128125</v>
          </cell>
          <cell r="AE8">
            <v>44398.8128125</v>
          </cell>
          <cell r="AF8">
            <v>44398.8128125</v>
          </cell>
          <cell r="AH8">
            <v>54521.360500000003</v>
          </cell>
          <cell r="AI8">
            <v>54521.360500000003</v>
          </cell>
          <cell r="AJ8">
            <v>54521.360500000003</v>
          </cell>
          <cell r="AK8">
            <v>54521.360500000003</v>
          </cell>
          <cell r="AL8">
            <v>54521.360500000003</v>
          </cell>
          <cell r="AM8">
            <v>54521.360500000003</v>
          </cell>
          <cell r="AN8">
            <v>54521.360500000003</v>
          </cell>
          <cell r="AO8">
            <v>54521.360500000003</v>
          </cell>
          <cell r="AP8">
            <v>54521.360500000003</v>
          </cell>
          <cell r="AQ8">
            <v>54521.360500000003</v>
          </cell>
          <cell r="AR8">
            <v>54521.360500000003</v>
          </cell>
          <cell r="AS8">
            <v>54521.360500000003</v>
          </cell>
          <cell r="AU8">
            <v>62514.935625000013</v>
          </cell>
          <cell r="AV8">
            <v>62514.935625000013</v>
          </cell>
          <cell r="AW8">
            <v>62514.935625000013</v>
          </cell>
          <cell r="AX8">
            <v>62514.935625000013</v>
          </cell>
          <cell r="AY8">
            <v>62514.935625000013</v>
          </cell>
          <cell r="AZ8">
            <v>62514.935625000013</v>
          </cell>
          <cell r="BA8">
            <v>62514.935625000013</v>
          </cell>
          <cell r="BB8">
            <v>62514.935625000013</v>
          </cell>
          <cell r="BC8">
            <v>62514.935625000013</v>
          </cell>
          <cell r="BD8">
            <v>62514.935625000013</v>
          </cell>
          <cell r="BE8">
            <v>62514.935625000013</v>
          </cell>
          <cell r="BF8">
            <v>62514.935625000013</v>
          </cell>
          <cell r="BH8">
            <v>71406.815350000004</v>
          </cell>
          <cell r="BI8">
            <v>71406.815350000004</v>
          </cell>
          <cell r="BJ8">
            <v>71406.815350000004</v>
          </cell>
          <cell r="BK8">
            <v>71406.815350000004</v>
          </cell>
          <cell r="BL8">
            <v>71406.815350000004</v>
          </cell>
          <cell r="BM8">
            <v>71406.815350000004</v>
          </cell>
          <cell r="BN8">
            <v>71406.815350000004</v>
          </cell>
          <cell r="BO8">
            <v>71406.815350000004</v>
          </cell>
          <cell r="BP8">
            <v>71406.815350000004</v>
          </cell>
          <cell r="BQ8">
            <v>71406.815350000004</v>
          </cell>
          <cell r="BR8">
            <v>71406.815350000004</v>
          </cell>
          <cell r="BS8">
            <v>71406.815350000004</v>
          </cell>
          <cell r="BU8">
            <v>79481.520975000007</v>
          </cell>
          <cell r="BV8">
            <v>79481.520975000007</v>
          </cell>
          <cell r="BW8">
            <v>79481.520975000007</v>
          </cell>
          <cell r="BX8">
            <v>79481.520975000007</v>
          </cell>
          <cell r="BY8">
            <v>79481.520975000007</v>
          </cell>
          <cell r="BZ8">
            <v>79481.520975000007</v>
          </cell>
          <cell r="CA8">
            <v>79481.520975000007</v>
          </cell>
          <cell r="CB8">
            <v>79481.520975000007</v>
          </cell>
          <cell r="CC8">
            <v>79481.520975000007</v>
          </cell>
          <cell r="CD8">
            <v>79481.520975000007</v>
          </cell>
          <cell r="CE8">
            <v>79481.520975000007</v>
          </cell>
          <cell r="CF8">
            <v>79481.520975000007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çamento"/>
      <sheetName val="Custo investimento "/>
      <sheetName val="Financiamento"/>
      <sheetName val="Água e luz"/>
      <sheetName val="Cálcul. trabalhado"/>
      <sheetName val="Cálculo kit higiene"/>
      <sheetName val="Equipe"/>
      <sheetName val="Orçamento máquinas"/>
      <sheetName val="Cronograma de ativ."/>
      <sheetName val="Cálcul. para definição benefic"/>
      <sheetName val="Fórmulas fee para split"/>
      <sheetName val="Benefícios Personal"/>
      <sheetName val="Benefícios aluno"/>
      <sheetName val="Manifesto"/>
      <sheetName val="Concorrentes"/>
      <sheetName val="Local"/>
      <sheetName val="Sistema"/>
    </sheetNames>
    <sheetDataSet>
      <sheetData sheetId="0">
        <row r="1">
          <cell r="C1">
            <v>47849</v>
          </cell>
          <cell r="D1">
            <v>47880</v>
          </cell>
          <cell r="E1">
            <v>47908</v>
          </cell>
          <cell r="F1">
            <v>47939</v>
          </cell>
          <cell r="G1">
            <v>47969</v>
          </cell>
          <cell r="H1">
            <v>48000</v>
          </cell>
          <cell r="I1">
            <v>48030</v>
          </cell>
          <cell r="J1">
            <v>48061</v>
          </cell>
          <cell r="K1">
            <v>48092</v>
          </cell>
          <cell r="L1">
            <v>48122</v>
          </cell>
          <cell r="M1">
            <v>48153</v>
          </cell>
          <cell r="N1">
            <v>48183</v>
          </cell>
          <cell r="T1" t="str">
            <v>Total Acumulado Ano 1</v>
          </cell>
          <cell r="U1">
            <v>48214</v>
          </cell>
          <cell r="V1">
            <v>48245</v>
          </cell>
          <cell r="W1">
            <v>48274</v>
          </cell>
          <cell r="X1">
            <v>48305</v>
          </cell>
          <cell r="Y1">
            <v>48335</v>
          </cell>
          <cell r="Z1">
            <v>48366</v>
          </cell>
          <cell r="AA1">
            <v>48396</v>
          </cell>
          <cell r="AB1">
            <v>48427</v>
          </cell>
          <cell r="AC1">
            <v>48458</v>
          </cell>
          <cell r="AD1">
            <v>48488</v>
          </cell>
          <cell r="AE1">
            <v>48519</v>
          </cell>
          <cell r="AF1">
            <v>48549</v>
          </cell>
          <cell r="AG1" t="str">
            <v>Total Acumulado Ano 2</v>
          </cell>
          <cell r="AH1">
            <v>48580</v>
          </cell>
          <cell r="AI1">
            <v>48611</v>
          </cell>
          <cell r="AJ1">
            <v>48639</v>
          </cell>
          <cell r="AK1">
            <v>48670</v>
          </cell>
          <cell r="AL1">
            <v>48700</v>
          </cell>
          <cell r="AM1">
            <v>48731</v>
          </cell>
          <cell r="AN1">
            <v>48761</v>
          </cell>
          <cell r="AO1">
            <v>48792</v>
          </cell>
          <cell r="AP1">
            <v>48823</v>
          </cell>
          <cell r="AQ1">
            <v>48853</v>
          </cell>
          <cell r="AR1">
            <v>48884</v>
          </cell>
          <cell r="AS1">
            <v>48914</v>
          </cell>
          <cell r="AT1" t="str">
            <v>Total Acumulado Ano 3</v>
          </cell>
          <cell r="AU1">
            <v>48945</v>
          </cell>
          <cell r="AV1">
            <v>48976</v>
          </cell>
          <cell r="AW1">
            <v>49004</v>
          </cell>
          <cell r="AX1">
            <v>49035</v>
          </cell>
          <cell r="AY1">
            <v>49065</v>
          </cell>
          <cell r="AZ1">
            <v>49096</v>
          </cell>
          <cell r="BA1">
            <v>49126</v>
          </cell>
          <cell r="BB1">
            <v>49157</v>
          </cell>
          <cell r="BC1">
            <v>49188</v>
          </cell>
          <cell r="BD1">
            <v>49218</v>
          </cell>
          <cell r="BE1">
            <v>49249</v>
          </cell>
          <cell r="BF1">
            <v>49279</v>
          </cell>
          <cell r="BG1" t="str">
            <v>Total Acumulado Ano 4</v>
          </cell>
          <cell r="BH1">
            <v>49310</v>
          </cell>
          <cell r="BI1">
            <v>49341</v>
          </cell>
          <cell r="BJ1">
            <v>49369</v>
          </cell>
          <cell r="BK1">
            <v>49400</v>
          </cell>
          <cell r="BL1">
            <v>49430</v>
          </cell>
          <cell r="BM1">
            <v>49461</v>
          </cell>
          <cell r="BN1">
            <v>49491</v>
          </cell>
          <cell r="BO1">
            <v>49522</v>
          </cell>
          <cell r="BP1">
            <v>49553</v>
          </cell>
          <cell r="BQ1">
            <v>49583</v>
          </cell>
          <cell r="BR1">
            <v>49614</v>
          </cell>
          <cell r="BS1">
            <v>49644</v>
          </cell>
          <cell r="BT1" t="str">
            <v>Total Acumulado Ano 5</v>
          </cell>
          <cell r="BU1">
            <v>49675</v>
          </cell>
          <cell r="BV1">
            <v>49706</v>
          </cell>
          <cell r="BW1">
            <v>49735</v>
          </cell>
          <cell r="BX1">
            <v>49766</v>
          </cell>
          <cell r="BY1">
            <v>49796</v>
          </cell>
          <cell r="BZ1">
            <v>49827</v>
          </cell>
          <cell r="CA1">
            <v>49857</v>
          </cell>
          <cell r="CB1">
            <v>49888</v>
          </cell>
          <cell r="CC1">
            <v>49919</v>
          </cell>
          <cell r="CD1">
            <v>49949</v>
          </cell>
          <cell r="CE1">
            <v>49980</v>
          </cell>
          <cell r="CF1">
            <v>50010</v>
          </cell>
          <cell r="CG1" t="str">
            <v>Total Acumulado Ano 6</v>
          </cell>
        </row>
        <row r="2">
          <cell r="C2">
            <v>0</v>
          </cell>
          <cell r="D2">
            <v>0</v>
          </cell>
          <cell r="E2">
            <v>0</v>
          </cell>
          <cell r="F2">
            <v>2453.8125</v>
          </cell>
          <cell r="G2">
            <v>4907.625</v>
          </cell>
          <cell r="H2">
            <v>26432.749999999996</v>
          </cell>
          <cell r="I2">
            <v>26432.749999999996</v>
          </cell>
          <cell r="J2">
            <v>26432.749999999996</v>
          </cell>
          <cell r="K2">
            <v>26432.749999999996</v>
          </cell>
          <cell r="L2">
            <v>26432.749999999996</v>
          </cell>
          <cell r="M2">
            <v>26432.749999999996</v>
          </cell>
          <cell r="N2">
            <v>26432.749999999996</v>
          </cell>
          <cell r="T2">
            <v>192390.6875</v>
          </cell>
          <cell r="U2">
            <v>55271.874999999993</v>
          </cell>
          <cell r="V2">
            <v>55271.874999999993</v>
          </cell>
          <cell r="W2">
            <v>55271.874999999993</v>
          </cell>
          <cell r="X2">
            <v>55271.874999999993</v>
          </cell>
          <cell r="Y2">
            <v>55271.874999999993</v>
          </cell>
          <cell r="Z2">
            <v>55271.874999999993</v>
          </cell>
          <cell r="AA2">
            <v>55271.874999999993</v>
          </cell>
          <cell r="AB2">
            <v>55271.874999999993</v>
          </cell>
          <cell r="AC2">
            <v>55271.874999999993</v>
          </cell>
          <cell r="AD2">
            <v>55271.874999999993</v>
          </cell>
          <cell r="AE2">
            <v>55271.874999999993</v>
          </cell>
          <cell r="AF2">
            <v>55271.874999999993</v>
          </cell>
          <cell r="AG2">
            <v>855653.1875</v>
          </cell>
          <cell r="AH2">
            <v>88435</v>
          </cell>
          <cell r="AI2">
            <v>88435</v>
          </cell>
          <cell r="AJ2">
            <v>88435</v>
          </cell>
          <cell r="AK2">
            <v>88435</v>
          </cell>
          <cell r="AL2">
            <v>88435</v>
          </cell>
          <cell r="AM2">
            <v>88435</v>
          </cell>
          <cell r="AN2">
            <v>88435</v>
          </cell>
          <cell r="AO2">
            <v>88435</v>
          </cell>
          <cell r="AP2">
            <v>88435</v>
          </cell>
          <cell r="AQ2">
            <v>88435</v>
          </cell>
          <cell r="AR2">
            <v>88435</v>
          </cell>
          <cell r="AS2">
            <v>88435</v>
          </cell>
          <cell r="AT2">
            <v>1916873.1875</v>
          </cell>
          <cell r="AU2">
            <v>110543.74999999999</v>
          </cell>
          <cell r="AV2">
            <v>110543.74999999999</v>
          </cell>
          <cell r="AW2">
            <v>110543.74999999999</v>
          </cell>
          <cell r="AX2">
            <v>110543.74999999999</v>
          </cell>
          <cell r="AY2">
            <v>110543.74999999999</v>
          </cell>
          <cell r="AZ2">
            <v>110543.74999999999</v>
          </cell>
          <cell r="BA2">
            <v>110543.74999999999</v>
          </cell>
          <cell r="BB2">
            <v>110543.74999999999</v>
          </cell>
          <cell r="BC2">
            <v>110543.74999999999</v>
          </cell>
          <cell r="BD2">
            <v>110543.74999999999</v>
          </cell>
          <cell r="BE2">
            <v>110543.74999999999</v>
          </cell>
          <cell r="BF2">
            <v>110543.74999999999</v>
          </cell>
          <cell r="BG2">
            <v>3243398.1875</v>
          </cell>
          <cell r="BH2">
            <v>132652.49999999997</v>
          </cell>
          <cell r="BI2">
            <v>132652.49999999997</v>
          </cell>
          <cell r="BJ2">
            <v>132652.49999999997</v>
          </cell>
          <cell r="BK2">
            <v>132652.49999999997</v>
          </cell>
          <cell r="BL2">
            <v>132652.49999999997</v>
          </cell>
          <cell r="BM2">
            <v>132652.49999999997</v>
          </cell>
          <cell r="BN2">
            <v>132652.49999999997</v>
          </cell>
          <cell r="BO2">
            <v>132652.49999999997</v>
          </cell>
          <cell r="BP2">
            <v>132652.49999999997</v>
          </cell>
          <cell r="BQ2">
            <v>132652.49999999997</v>
          </cell>
          <cell r="BR2">
            <v>132652.49999999997</v>
          </cell>
          <cell r="BS2">
            <v>132652.49999999997</v>
          </cell>
          <cell r="BT2">
            <v>4835228.1875</v>
          </cell>
          <cell r="BU2">
            <v>154761.24999999997</v>
          </cell>
          <cell r="BV2">
            <v>154761.24999999997</v>
          </cell>
          <cell r="BW2">
            <v>154761.24999999997</v>
          </cell>
          <cell r="BX2">
            <v>154761.24999999997</v>
          </cell>
          <cell r="BY2">
            <v>154761.24999999997</v>
          </cell>
          <cell r="BZ2">
            <v>154761.24999999997</v>
          </cell>
          <cell r="CA2">
            <v>154761.24999999997</v>
          </cell>
          <cell r="CB2">
            <v>154761.24999999997</v>
          </cell>
          <cell r="CC2">
            <v>154761.24999999997</v>
          </cell>
          <cell r="CD2">
            <v>154761.24999999997</v>
          </cell>
          <cell r="CE2">
            <v>154761.24999999997</v>
          </cell>
          <cell r="CF2">
            <v>154761.24999999997</v>
          </cell>
          <cell r="CG2">
            <v>6692363.1875</v>
          </cell>
        </row>
        <row r="8">
          <cell r="C8">
            <v>19000</v>
          </cell>
          <cell r="D8">
            <v>19000</v>
          </cell>
          <cell r="E8">
            <v>820905.66</v>
          </cell>
          <cell r="F8">
            <v>30175.795625000002</v>
          </cell>
          <cell r="G8">
            <v>30323.024375000001</v>
          </cell>
          <cell r="H8">
            <v>32456.311250000002</v>
          </cell>
          <cell r="I8">
            <v>32456.311250000002</v>
          </cell>
          <cell r="J8">
            <v>32456.311250000002</v>
          </cell>
          <cell r="K8">
            <v>32456.311250000002</v>
          </cell>
          <cell r="L8">
            <v>32756.311250000002</v>
          </cell>
          <cell r="M8">
            <v>32756.311250000002</v>
          </cell>
          <cell r="N8">
            <v>32756.311250000002</v>
          </cell>
          <cell r="U8">
            <v>38689.228125000001</v>
          </cell>
          <cell r="V8">
            <v>38689.228125000001</v>
          </cell>
          <cell r="W8">
            <v>44398.8128125</v>
          </cell>
          <cell r="X8">
            <v>44398.8128125</v>
          </cell>
          <cell r="Y8">
            <v>44398.8128125</v>
          </cell>
          <cell r="Z8">
            <v>44398.8128125</v>
          </cell>
          <cell r="AA8">
            <v>44398.8128125</v>
          </cell>
          <cell r="AB8">
            <v>44398.8128125</v>
          </cell>
          <cell r="AC8">
            <v>44398.8128125</v>
          </cell>
          <cell r="AD8">
            <v>44398.8128125</v>
          </cell>
          <cell r="AE8">
            <v>44398.8128125</v>
          </cell>
          <cell r="AF8">
            <v>44398.8128125</v>
          </cell>
          <cell r="AH8">
            <v>54521.360500000003</v>
          </cell>
          <cell r="AI8">
            <v>54521.360500000003</v>
          </cell>
          <cell r="AJ8">
            <v>54521.360500000003</v>
          </cell>
          <cell r="AK8">
            <v>54521.360500000003</v>
          </cell>
          <cell r="AL8">
            <v>54521.360500000003</v>
          </cell>
          <cell r="AM8">
            <v>54521.360500000003</v>
          </cell>
          <cell r="AN8">
            <v>54521.360500000003</v>
          </cell>
          <cell r="AO8">
            <v>54521.360500000003</v>
          </cell>
          <cell r="AP8">
            <v>54521.360500000003</v>
          </cell>
          <cell r="AQ8">
            <v>54521.360500000003</v>
          </cell>
          <cell r="AR8">
            <v>54521.360500000003</v>
          </cell>
          <cell r="AS8">
            <v>54521.360500000003</v>
          </cell>
          <cell r="AU8">
            <v>62514.935625000013</v>
          </cell>
          <cell r="AV8">
            <v>62514.935625000013</v>
          </cell>
          <cell r="AW8">
            <v>62514.935625000013</v>
          </cell>
          <cell r="AX8">
            <v>62514.935625000013</v>
          </cell>
          <cell r="AY8">
            <v>62514.935625000013</v>
          </cell>
          <cell r="AZ8">
            <v>62514.935625000013</v>
          </cell>
          <cell r="BA8">
            <v>62514.935625000013</v>
          </cell>
          <cell r="BB8">
            <v>62514.935625000013</v>
          </cell>
          <cell r="BC8">
            <v>62514.935625000013</v>
          </cell>
          <cell r="BD8">
            <v>62514.935625000013</v>
          </cell>
          <cell r="BE8">
            <v>62514.935625000013</v>
          </cell>
          <cell r="BF8">
            <v>62514.935625000013</v>
          </cell>
          <cell r="BH8">
            <v>71406.815350000004</v>
          </cell>
          <cell r="BI8">
            <v>71406.815350000004</v>
          </cell>
          <cell r="BJ8">
            <v>71406.815350000004</v>
          </cell>
          <cell r="BK8">
            <v>71406.815350000004</v>
          </cell>
          <cell r="BL8">
            <v>71406.815350000004</v>
          </cell>
          <cell r="BM8">
            <v>71406.815350000004</v>
          </cell>
          <cell r="BN8">
            <v>71406.815350000004</v>
          </cell>
          <cell r="BO8">
            <v>71406.815350000004</v>
          </cell>
          <cell r="BP8">
            <v>71406.815350000004</v>
          </cell>
          <cell r="BQ8">
            <v>71406.815350000004</v>
          </cell>
          <cell r="BR8">
            <v>71406.815350000004</v>
          </cell>
          <cell r="BS8">
            <v>71406.815350000004</v>
          </cell>
          <cell r="BU8">
            <v>79481.520975000007</v>
          </cell>
          <cell r="BV8">
            <v>79481.520975000007</v>
          </cell>
          <cell r="BW8">
            <v>79481.520975000007</v>
          </cell>
          <cell r="BX8">
            <v>79481.520975000007</v>
          </cell>
          <cell r="BY8">
            <v>79481.520975000007</v>
          </cell>
          <cell r="BZ8">
            <v>79481.520975000007</v>
          </cell>
          <cell r="CA8">
            <v>79481.520975000007</v>
          </cell>
          <cell r="CB8">
            <v>79481.520975000007</v>
          </cell>
          <cell r="CC8">
            <v>79481.520975000007</v>
          </cell>
          <cell r="CD8">
            <v>79481.520975000007</v>
          </cell>
          <cell r="CE8">
            <v>79481.520975000007</v>
          </cell>
          <cell r="CF8">
            <v>79481.520975000007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çamento"/>
      <sheetName val="Custo investimento Lab"/>
      <sheetName val="Financiamento"/>
      <sheetName val="Água e luz"/>
      <sheetName val="Cálcul. trabalhado"/>
      <sheetName val="Ocupação e unit economics"/>
      <sheetName val="Cálculo kit higiene"/>
      <sheetName val="Equipe"/>
      <sheetName val="Orçamento máquinas"/>
      <sheetName val="Cronog. de Ativ. "/>
      <sheetName val="Cálcul. para definição benefic"/>
      <sheetName val="Fórmulas fee para split"/>
      <sheetName val="Benefícios Personal"/>
      <sheetName val="Benefícios aluno"/>
      <sheetName val="Manifesto"/>
      <sheetName val="Concorrentes"/>
      <sheetName val="Local"/>
      <sheetName val="Sistema"/>
    </sheetNames>
    <sheetDataSet>
      <sheetData sheetId="0"/>
      <sheetData sheetId="1">
        <row r="7">
          <cell r="D7">
            <v>472262.55749999994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34"/>
  <sheetViews>
    <sheetView topLeftCell="CU1" workbookViewId="0">
      <selection activeCell="DH5" sqref="DH5"/>
    </sheetView>
  </sheetViews>
  <sheetFormatPr defaultRowHeight="15" x14ac:dyDescent="0.25"/>
  <cols>
    <col min="2" max="2" width="23.5703125" customWidth="1"/>
    <col min="3" max="3" width="11.5703125" bestFit="1" customWidth="1"/>
    <col min="4" max="4" width="15.85546875" bestFit="1" customWidth="1"/>
    <col min="5" max="5" width="11.5703125" bestFit="1" customWidth="1"/>
    <col min="6" max="9" width="13.28515625" bestFit="1" customWidth="1"/>
    <col min="10" max="10" width="11.7109375" bestFit="1" customWidth="1"/>
    <col min="11" max="11" width="13.28515625" bestFit="1" customWidth="1"/>
    <col min="12" max="12" width="14.28515625" bestFit="1" customWidth="1"/>
    <col min="13" max="19" width="11.7109375" bestFit="1" customWidth="1"/>
    <col min="20" max="20" width="12.85546875" bestFit="1" customWidth="1"/>
    <col min="21" max="28" width="11.7109375" bestFit="1" customWidth="1"/>
    <col min="29" max="30" width="12.7109375" bestFit="1" customWidth="1"/>
    <col min="31" max="32" width="11.7109375" bestFit="1" customWidth="1"/>
    <col min="33" max="33" width="14.7109375" bestFit="1" customWidth="1"/>
    <col min="34" max="45" width="12.85546875" bestFit="1" customWidth="1"/>
    <col min="46" max="46" width="14.7109375" bestFit="1" customWidth="1"/>
    <col min="47" max="58" width="12.85546875" bestFit="1" customWidth="1"/>
    <col min="59" max="59" width="14.7109375" bestFit="1" customWidth="1"/>
    <col min="60" max="71" width="12.85546875" bestFit="1" customWidth="1"/>
    <col min="72" max="72" width="14.7109375" bestFit="1" customWidth="1"/>
    <col min="73" max="84" width="12.85546875" bestFit="1" customWidth="1"/>
    <col min="85" max="85" width="15.85546875" bestFit="1" customWidth="1"/>
    <col min="86" max="97" width="12.85546875" bestFit="1" customWidth="1"/>
    <col min="98" max="98" width="14.7109375" bestFit="1" customWidth="1"/>
    <col min="99" max="110" width="12.85546875" bestFit="1" customWidth="1"/>
    <col min="111" max="111" width="15.85546875" bestFit="1" customWidth="1"/>
    <col min="112" max="112" width="13.85546875" customWidth="1"/>
  </cols>
  <sheetData>
    <row r="1" spans="1:112" ht="51.75" thickBot="1" x14ac:dyDescent="0.3">
      <c r="A1" s="3" t="s">
        <v>0</v>
      </c>
      <c r="B1" s="3" t="s">
        <v>1</v>
      </c>
      <c r="C1" s="1">
        <v>46235</v>
      </c>
      <c r="D1" s="1">
        <v>46266</v>
      </c>
      <c r="E1" s="1">
        <v>46296</v>
      </c>
      <c r="F1" s="1">
        <v>46327</v>
      </c>
      <c r="G1" s="1">
        <v>46357</v>
      </c>
      <c r="H1" s="1">
        <v>46388</v>
      </c>
      <c r="I1" s="1">
        <v>46419</v>
      </c>
      <c r="J1" s="1">
        <v>46447</v>
      </c>
      <c r="K1" s="1">
        <v>46478</v>
      </c>
      <c r="L1" s="1">
        <v>46508</v>
      </c>
      <c r="M1" s="1">
        <v>46539</v>
      </c>
      <c r="N1" s="1">
        <v>46569</v>
      </c>
      <c r="O1" s="1">
        <v>46600</v>
      </c>
      <c r="P1" s="1">
        <v>46631</v>
      </c>
      <c r="Q1" s="1">
        <v>46661</v>
      </c>
      <c r="R1" s="1">
        <v>46692</v>
      </c>
      <c r="S1" s="1">
        <v>46722</v>
      </c>
      <c r="T1" s="2" t="s">
        <v>2</v>
      </c>
      <c r="U1" s="1">
        <v>46753</v>
      </c>
      <c r="V1" s="1">
        <v>46784</v>
      </c>
      <c r="W1" s="1">
        <v>46813</v>
      </c>
      <c r="X1" s="1">
        <v>46844</v>
      </c>
      <c r="Y1" s="1">
        <v>46874</v>
      </c>
      <c r="Z1" s="1">
        <v>46905</v>
      </c>
      <c r="AA1" s="1">
        <v>46935</v>
      </c>
      <c r="AB1" s="1">
        <v>46966</v>
      </c>
      <c r="AC1" s="1">
        <v>46997</v>
      </c>
      <c r="AD1" s="1">
        <v>47027</v>
      </c>
      <c r="AE1" s="1">
        <v>47058</v>
      </c>
      <c r="AF1" s="1">
        <v>47088</v>
      </c>
      <c r="AG1" s="2" t="s">
        <v>3</v>
      </c>
      <c r="AH1" s="1">
        <v>47119</v>
      </c>
      <c r="AI1" s="1">
        <v>47150</v>
      </c>
      <c r="AJ1" s="1">
        <v>47178</v>
      </c>
      <c r="AK1" s="1">
        <v>47209</v>
      </c>
      <c r="AL1" s="1">
        <v>47239</v>
      </c>
      <c r="AM1" s="1">
        <v>47270</v>
      </c>
      <c r="AN1" s="1">
        <v>47300</v>
      </c>
      <c r="AO1" s="1">
        <v>47331</v>
      </c>
      <c r="AP1" s="1">
        <v>47362</v>
      </c>
      <c r="AQ1" s="1">
        <v>47392</v>
      </c>
      <c r="AR1" s="1">
        <v>47423</v>
      </c>
      <c r="AS1" s="1">
        <v>47453</v>
      </c>
      <c r="AT1" s="2" t="s">
        <v>4</v>
      </c>
      <c r="AU1" s="1">
        <v>47484</v>
      </c>
      <c r="AV1" s="1">
        <v>47515</v>
      </c>
      <c r="AW1" s="1">
        <v>47543</v>
      </c>
      <c r="AX1" s="1">
        <v>47574</v>
      </c>
      <c r="AY1" s="1">
        <v>47604</v>
      </c>
      <c r="AZ1" s="1">
        <v>47635</v>
      </c>
      <c r="BA1" s="1">
        <v>47665</v>
      </c>
      <c r="BB1" s="1">
        <v>47696</v>
      </c>
      <c r="BC1" s="1">
        <v>47727</v>
      </c>
      <c r="BD1" s="1">
        <v>47757</v>
      </c>
      <c r="BE1" s="1">
        <v>47788</v>
      </c>
      <c r="BF1" s="1">
        <v>47818</v>
      </c>
      <c r="BG1" s="2" t="s">
        <v>5</v>
      </c>
      <c r="BH1" s="1">
        <v>47849</v>
      </c>
      <c r="BI1" s="1">
        <v>47880</v>
      </c>
      <c r="BJ1" s="1">
        <v>47908</v>
      </c>
      <c r="BK1" s="1">
        <v>47939</v>
      </c>
      <c r="BL1" s="1">
        <v>47969</v>
      </c>
      <c r="BM1" s="1">
        <v>48000</v>
      </c>
      <c r="BN1" s="1">
        <v>48030</v>
      </c>
      <c r="BO1" s="1">
        <v>48061</v>
      </c>
      <c r="BP1" s="1">
        <v>48092</v>
      </c>
      <c r="BQ1" s="1">
        <v>48122</v>
      </c>
      <c r="BR1" s="1">
        <v>48153</v>
      </c>
      <c r="BS1" s="1">
        <v>48183</v>
      </c>
      <c r="BT1" s="2" t="s">
        <v>6</v>
      </c>
      <c r="BU1" s="1">
        <v>48214</v>
      </c>
      <c r="BV1" s="1">
        <v>48245</v>
      </c>
      <c r="BW1" s="1">
        <v>48274</v>
      </c>
      <c r="BX1" s="1">
        <v>48305</v>
      </c>
      <c r="BY1" s="1">
        <v>48335</v>
      </c>
      <c r="BZ1" s="1">
        <v>48366</v>
      </c>
      <c r="CA1" s="1">
        <v>48396</v>
      </c>
      <c r="CB1" s="1">
        <v>48427</v>
      </c>
      <c r="CC1" s="1">
        <v>48458</v>
      </c>
      <c r="CD1" s="1">
        <v>48488</v>
      </c>
      <c r="CE1" s="1">
        <v>48519</v>
      </c>
      <c r="CF1" s="1">
        <v>48549</v>
      </c>
      <c r="CG1" s="2" t="s">
        <v>7</v>
      </c>
      <c r="CH1" s="1">
        <v>48580</v>
      </c>
      <c r="CI1" s="1">
        <v>48611</v>
      </c>
      <c r="CJ1" s="1">
        <v>48639</v>
      </c>
      <c r="CK1" s="1">
        <v>48670</v>
      </c>
      <c r="CL1" s="1">
        <v>48700</v>
      </c>
      <c r="CM1" s="1">
        <v>48731</v>
      </c>
      <c r="CN1" s="1">
        <v>48761</v>
      </c>
      <c r="CO1" s="1">
        <v>48792</v>
      </c>
      <c r="CP1" s="1">
        <v>48823</v>
      </c>
      <c r="CQ1" s="1">
        <v>48853</v>
      </c>
      <c r="CR1" s="1">
        <v>48884</v>
      </c>
      <c r="CS1" s="1">
        <v>48914</v>
      </c>
      <c r="CT1" s="2" t="s">
        <v>8</v>
      </c>
      <c r="CU1" s="1">
        <v>48945</v>
      </c>
      <c r="CV1" s="1">
        <v>48976</v>
      </c>
      <c r="CW1" s="1">
        <v>49004</v>
      </c>
      <c r="CX1" s="1">
        <v>49035</v>
      </c>
      <c r="CY1" s="1">
        <v>49065</v>
      </c>
      <c r="CZ1" s="1">
        <v>49096</v>
      </c>
      <c r="DA1" s="1">
        <v>49126</v>
      </c>
      <c r="DB1" s="1">
        <v>49157</v>
      </c>
      <c r="DC1" s="1">
        <v>49188</v>
      </c>
      <c r="DD1" s="1">
        <v>49218</v>
      </c>
      <c r="DE1" s="1">
        <v>49249</v>
      </c>
      <c r="DF1" s="1">
        <v>49279</v>
      </c>
      <c r="DG1" s="2" t="s">
        <v>9</v>
      </c>
      <c r="DH1" s="27" t="s">
        <v>26</v>
      </c>
    </row>
    <row r="2" spans="1:112" x14ac:dyDescent="0.25">
      <c r="B2" s="4" t="s">
        <v>10</v>
      </c>
      <c r="C2" s="7">
        <f>IFERROR(INDEX([1]Orçamento!$C$2:$ZZ$2,1,MATCH(C$1,[1]Orçamento!$C$1:$ZZ$1,0)),0) + IFERROR(INDEX([2]Orçamento!$C$2:$ZZ$2,1,MATCH(C$1,[2]Orçamento!$C$1:$ZZ$1,0)),0) + IFERROR(INDEX([3]Orçamento!$C$2:$ZZ$2,1,MATCH(C$1,[3]Orçamento!$C$1:$ZZ$1,0)),0) + IFERROR(INDEX([4]Orçamento!$C$2:$ZZ$2,1,MATCH(C$1,[4]Orçamento!$C$1:$ZZ$1,0)),0) + IFERROR(INDEX([5]Orçamento!$C$2:$ZZ$2,1,MATCH(C$1,[5]Orçamento!$C$1:$ZZ$1,0)),0) + IFERROR(INDEX([6]Orçamento!$C$2:$ZZ$2,1,MATCH(C$1,[6]Orçamento!$C$1:$ZZ$1,0)),0) + IFERROR(INDEX([7]Orçamento!$C$2:$ZZ$2,1,MATCH(C$1,[7]Orçamento!$C$1:$ZZ$1,0)),0) + IFERROR(INDEX([8]Orçamento!$C$2:$ZZ$2,1,MATCH(C$1,[8]Orçamento!$C$1:$ZZ$1,0)),0)</f>
        <v>0</v>
      </c>
      <c r="D2" s="7">
        <f>IFERROR(INDEX([1]Orçamento!$C$2:$ZZ$2,1,MATCH(D$1,[1]Orçamento!$C$1:$ZZ$1,0)),0) + IFERROR(INDEX([2]Orçamento!$C$2:$ZZ$2,1,MATCH(D$1,[2]Orçamento!$C$1:$ZZ$1,0)),0) + IFERROR(INDEX([3]Orçamento!$C$2:$ZZ$2,1,MATCH(D$1,[3]Orçamento!$C$1:$ZZ$1,0)),0) + IFERROR(INDEX([4]Orçamento!$C$2:$ZZ$2,1,MATCH(D$1,[4]Orçamento!$C$1:$ZZ$1,0)),0) + IFERROR(INDEX([5]Orçamento!$C$2:$ZZ$2,1,MATCH(D$1,[5]Orçamento!$C$1:$ZZ$1,0)),0) + IFERROR(INDEX([6]Orçamento!$C$2:$ZZ$2,1,MATCH(D$1,[6]Orçamento!$C$1:$ZZ$1,0)),0) + IFERROR(INDEX([7]Orçamento!$C$2:$ZZ$2,1,MATCH(D$1,[7]Orçamento!$C$1:$ZZ$1,0)),0) + IFERROR(INDEX([8]Orçamento!$C$2:$ZZ$2,1,MATCH(D$1,[8]Orçamento!$C$1:$ZZ$1,0)),0)</f>
        <v>0</v>
      </c>
      <c r="E2" s="7">
        <f>IFERROR(INDEX([1]Orçamento!$C$2:$ZZ$2,1,MATCH(E$1,[1]Orçamento!$C$1:$ZZ$1,0)),0) + IFERROR(INDEX([2]Orçamento!$C$2:$ZZ$2,1,MATCH(E$1,[2]Orçamento!$C$1:$ZZ$1,0)),0) + IFERROR(INDEX([3]Orçamento!$C$2:$ZZ$2,1,MATCH(E$1,[3]Orçamento!$C$1:$ZZ$1,0)),0) + IFERROR(INDEX([4]Orçamento!$C$2:$ZZ$2,1,MATCH(E$1,[4]Orçamento!$C$1:$ZZ$1,0)),0) + IFERROR(INDEX([5]Orçamento!$C$2:$ZZ$2,1,MATCH(E$1,[5]Orçamento!$C$1:$ZZ$1,0)),0) + IFERROR(INDEX([6]Orçamento!$C$2:$ZZ$2,1,MATCH(E$1,[6]Orçamento!$C$1:$ZZ$1,0)),0) + IFERROR(INDEX([7]Orçamento!$C$2:$ZZ$2,1,MATCH(E$1,[7]Orçamento!$C$1:$ZZ$1,0)),0) + IFERROR(INDEX([8]Orçamento!$C$2:$ZZ$2,1,MATCH(E$1,[8]Orçamento!$C$1:$ZZ$1,0)),0)</f>
        <v>0</v>
      </c>
      <c r="F2" s="7">
        <f>IFERROR(INDEX([1]Orçamento!$C$2:$ZZ$2,1,MATCH(F$1,[1]Orçamento!$C$1:$ZZ$1,0)),0) + IFERROR(INDEX([2]Orçamento!$C$2:$ZZ$2,1,MATCH(F$1,[2]Orçamento!$C$1:$ZZ$1,0)),0) + IFERROR(INDEX([3]Orçamento!$C$2:$ZZ$2,1,MATCH(F$1,[3]Orçamento!$C$1:$ZZ$1,0)),0) + IFERROR(INDEX([4]Orçamento!$C$2:$ZZ$2,1,MATCH(F$1,[4]Orçamento!$C$1:$ZZ$1,0)),0) + IFERROR(INDEX([5]Orçamento!$C$2:$ZZ$2,1,MATCH(F$1,[5]Orçamento!$C$1:$ZZ$1,0)),0) + IFERROR(INDEX([6]Orçamento!$C$2:$ZZ$2,1,MATCH(F$1,[6]Orçamento!$C$1:$ZZ$1,0)),0) + IFERROR(INDEX([7]Orçamento!$C$2:$ZZ$2,1,MATCH(F$1,[7]Orçamento!$C$1:$ZZ$1,0)),0) + IFERROR(INDEX([8]Orçamento!$C$2:$ZZ$2,1,MATCH(F$1,[8]Orçamento!$C$1:$ZZ$1,0)),0)</f>
        <v>2453.8125</v>
      </c>
      <c r="G2" s="7">
        <f>IFERROR(INDEX([1]Orçamento!$C$2:$ZZ$2,1,MATCH(G$1,[1]Orçamento!$C$1:$ZZ$1,0)),0) + IFERROR(INDEX([2]Orçamento!$C$2:$ZZ$2,1,MATCH(G$1,[2]Orçamento!$C$1:$ZZ$1,0)),0) + IFERROR(INDEX([3]Orçamento!$C$2:$ZZ$2,1,MATCH(G$1,[3]Orçamento!$C$1:$ZZ$1,0)),0) + IFERROR(INDEX([4]Orçamento!$C$2:$ZZ$2,1,MATCH(G$1,[4]Orçamento!$C$1:$ZZ$1,0)),0) + IFERROR(INDEX([5]Orçamento!$C$2:$ZZ$2,1,MATCH(G$1,[5]Orçamento!$C$1:$ZZ$1,0)),0) + IFERROR(INDEX([6]Orçamento!$C$2:$ZZ$2,1,MATCH(G$1,[6]Orçamento!$C$1:$ZZ$1,0)),0) + IFERROR(INDEX([7]Orçamento!$C$2:$ZZ$2,1,MATCH(G$1,[7]Orçamento!$C$1:$ZZ$1,0)),0) + IFERROR(INDEX([8]Orçamento!$C$2:$ZZ$2,1,MATCH(G$1,[8]Orçamento!$C$1:$ZZ$1,0)),0)</f>
        <v>4907.625</v>
      </c>
      <c r="H2" s="7">
        <f>IFERROR(INDEX([1]Orçamento!$C$2:$ZZ$2,1,MATCH(H$1,[1]Orçamento!$C$1:$ZZ$1,0)),0) + IFERROR(INDEX([2]Orçamento!$C$2:$ZZ$2,1,MATCH(H$1,[2]Orçamento!$C$1:$ZZ$1,0)),0) + IFERROR(INDEX([3]Orçamento!$C$2:$ZZ$2,1,MATCH(H$1,[3]Orçamento!$C$1:$ZZ$1,0)),0) + IFERROR(INDEX([4]Orçamento!$C$2:$ZZ$2,1,MATCH(H$1,[4]Orçamento!$C$1:$ZZ$1,0)),0) + IFERROR(INDEX([5]Orçamento!$C$2:$ZZ$2,1,MATCH(H$1,[5]Orçamento!$C$1:$ZZ$1,0)),0) + IFERROR(INDEX([6]Orçamento!$C$2:$ZZ$2,1,MATCH(H$1,[6]Orçamento!$C$1:$ZZ$1,0)),0) + IFERROR(INDEX([7]Orçamento!$C$2:$ZZ$2,1,MATCH(H$1,[7]Orçamento!$C$1:$ZZ$1,0)),0) + IFERROR(INDEX([8]Orçamento!$C$2:$ZZ$2,1,MATCH(H$1,[8]Orçamento!$C$1:$ZZ$1,0)),0)</f>
        <v>26432.749999999996</v>
      </c>
      <c r="I2" s="7">
        <f>IFERROR(INDEX([1]Orçamento!$C$2:$ZZ$2,1,MATCH(I$1,[1]Orçamento!$C$1:$ZZ$1,0)),0) + IFERROR(INDEX([2]Orçamento!$C$2:$ZZ$2,1,MATCH(I$1,[2]Orçamento!$C$1:$ZZ$1,0)),0) + IFERROR(INDEX([3]Orçamento!$C$2:$ZZ$2,1,MATCH(I$1,[3]Orçamento!$C$1:$ZZ$1,0)),0) + IFERROR(INDEX([4]Orçamento!$C$2:$ZZ$2,1,MATCH(I$1,[4]Orçamento!$C$1:$ZZ$1,0)),0) + IFERROR(INDEX([5]Orçamento!$C$2:$ZZ$2,1,MATCH(I$1,[5]Orçamento!$C$1:$ZZ$1,0)),0) + IFERROR(INDEX([6]Orçamento!$C$2:$ZZ$2,1,MATCH(I$1,[6]Orçamento!$C$1:$ZZ$1,0)),0) + IFERROR(INDEX([7]Orçamento!$C$2:$ZZ$2,1,MATCH(I$1,[7]Orçamento!$C$1:$ZZ$1,0)),0) + IFERROR(INDEX([8]Orçamento!$C$2:$ZZ$2,1,MATCH(I$1,[8]Orçamento!$C$1:$ZZ$1,0)),0)</f>
        <v>26432.749999999996</v>
      </c>
      <c r="J2" s="7">
        <f>IFERROR(INDEX([1]Orçamento!$C$2:$ZZ$2,1,MATCH(J$1,[1]Orçamento!$C$1:$ZZ$1,0)),0) + IFERROR(INDEX([2]Orçamento!$C$2:$ZZ$2,1,MATCH(J$1,[2]Orçamento!$C$1:$ZZ$1,0)),0) + IFERROR(INDEX([3]Orçamento!$C$2:$ZZ$2,1,MATCH(J$1,[3]Orçamento!$C$1:$ZZ$1,0)),0) + IFERROR(INDEX([4]Orçamento!$C$2:$ZZ$2,1,MATCH(J$1,[4]Orçamento!$C$1:$ZZ$1,0)),0) + IFERROR(INDEX([5]Orçamento!$C$2:$ZZ$2,1,MATCH(J$1,[5]Orçamento!$C$1:$ZZ$1,0)),0) + IFERROR(INDEX([6]Orçamento!$C$2:$ZZ$2,1,MATCH(J$1,[6]Orçamento!$C$1:$ZZ$1,0)),0) + IFERROR(INDEX([7]Orçamento!$C$2:$ZZ$2,1,MATCH(J$1,[7]Orçamento!$C$1:$ZZ$1,0)),0) + IFERROR(INDEX([8]Orçamento!$C$2:$ZZ$2,1,MATCH(J$1,[8]Orçamento!$C$1:$ZZ$1,0)),0)</f>
        <v>26432.749999999996</v>
      </c>
      <c r="K2" s="7">
        <f>IFERROR(INDEX([1]Orçamento!$C$2:$ZZ$2,1,MATCH(K$1,[1]Orçamento!$C$1:$ZZ$1,0)),0) + IFERROR(INDEX([2]Orçamento!$C$2:$ZZ$2,1,MATCH(K$1,[2]Orçamento!$C$1:$ZZ$1,0)),0) + IFERROR(INDEX([3]Orçamento!$C$2:$ZZ$2,1,MATCH(K$1,[3]Orçamento!$C$1:$ZZ$1,0)),0) + IFERROR(INDEX([4]Orçamento!$C$2:$ZZ$2,1,MATCH(K$1,[4]Orçamento!$C$1:$ZZ$1,0)),0) + IFERROR(INDEX([5]Orçamento!$C$2:$ZZ$2,1,MATCH(K$1,[5]Orçamento!$C$1:$ZZ$1,0)),0) + IFERROR(INDEX([6]Orçamento!$C$2:$ZZ$2,1,MATCH(K$1,[6]Orçamento!$C$1:$ZZ$1,0)),0) + IFERROR(INDEX([7]Orçamento!$C$2:$ZZ$2,1,MATCH(K$1,[7]Orçamento!$C$1:$ZZ$1,0)),0) + IFERROR(INDEX([8]Orçamento!$C$2:$ZZ$2,1,MATCH(K$1,[8]Orçamento!$C$1:$ZZ$1,0)),0)</f>
        <v>26432.749999999996</v>
      </c>
      <c r="L2" s="7">
        <f>IFERROR(INDEX([1]Orçamento!$C$2:$ZZ$2,1,MATCH(L$1,[1]Orçamento!$C$1:$ZZ$1,0)),0) + IFERROR(INDEX([2]Orçamento!$C$2:$ZZ$2,1,MATCH(L$1,[2]Orçamento!$C$1:$ZZ$1,0)),0) + IFERROR(INDEX([3]Orçamento!$C$2:$ZZ$2,1,MATCH(L$1,[3]Orçamento!$C$1:$ZZ$1,0)),0) + IFERROR(INDEX([4]Orçamento!$C$2:$ZZ$2,1,MATCH(L$1,[4]Orçamento!$C$1:$ZZ$1,0)),0) + IFERROR(INDEX([5]Orçamento!$C$2:$ZZ$2,1,MATCH(L$1,[5]Orçamento!$C$1:$ZZ$1,0)),0) + IFERROR(INDEX([6]Orçamento!$C$2:$ZZ$2,1,MATCH(L$1,[6]Orçamento!$C$1:$ZZ$1,0)),0) + IFERROR(INDEX([7]Orçamento!$C$2:$ZZ$2,1,MATCH(L$1,[7]Orçamento!$C$1:$ZZ$1,0)),0) + IFERROR(INDEX([8]Orçamento!$C$2:$ZZ$2,1,MATCH(L$1,[8]Orçamento!$C$1:$ZZ$1,0)),0)</f>
        <v>26432.749999999996</v>
      </c>
      <c r="M2" s="7">
        <f>IFERROR(INDEX([1]Orçamento!$C$2:$ZZ$2,1,MATCH(M$1,[1]Orçamento!$C$1:$ZZ$1,0)),0) + IFERROR(INDEX([2]Orçamento!$C$2:$ZZ$2,1,MATCH(M$1,[2]Orçamento!$C$1:$ZZ$1,0)),0) + IFERROR(INDEX([3]Orçamento!$C$2:$ZZ$2,1,MATCH(M$1,[3]Orçamento!$C$1:$ZZ$1,0)),0) + IFERROR(INDEX([4]Orçamento!$C$2:$ZZ$2,1,MATCH(M$1,[4]Orçamento!$C$1:$ZZ$1,0)),0) + IFERROR(INDEX([5]Orçamento!$C$2:$ZZ$2,1,MATCH(M$1,[5]Orçamento!$C$1:$ZZ$1,0)),0) + IFERROR(INDEX([6]Orçamento!$C$2:$ZZ$2,1,MATCH(M$1,[6]Orçamento!$C$1:$ZZ$1,0)),0) + IFERROR(INDEX([7]Orçamento!$C$2:$ZZ$2,1,MATCH(M$1,[7]Orçamento!$C$1:$ZZ$1,0)),0) + IFERROR(INDEX([8]Orçamento!$C$2:$ZZ$2,1,MATCH(M$1,[8]Orçamento!$C$1:$ZZ$1,0)),0)</f>
        <v>26432.749999999996</v>
      </c>
      <c r="N2" s="7">
        <f>IFERROR(INDEX([1]Orçamento!$C$2:$ZZ$2,1,MATCH(N$1,[1]Orçamento!$C$1:$ZZ$1,0)),0) + IFERROR(INDEX([2]Orçamento!$C$2:$ZZ$2,1,MATCH(N$1,[2]Orçamento!$C$1:$ZZ$1,0)),0) + IFERROR(INDEX([3]Orçamento!$C$2:$ZZ$2,1,MATCH(N$1,[3]Orçamento!$C$1:$ZZ$1,0)),0) + IFERROR(INDEX([4]Orçamento!$C$2:$ZZ$2,1,MATCH(N$1,[4]Orçamento!$C$1:$ZZ$1,0)),0) + IFERROR(INDEX([5]Orçamento!$C$2:$ZZ$2,1,MATCH(N$1,[5]Orçamento!$C$1:$ZZ$1,0)),0) + IFERROR(INDEX([6]Orçamento!$C$2:$ZZ$2,1,MATCH(N$1,[6]Orçamento!$C$1:$ZZ$1,0)),0) + IFERROR(INDEX([7]Orçamento!$C$2:$ZZ$2,1,MATCH(N$1,[7]Orçamento!$C$1:$ZZ$1,0)),0) + IFERROR(INDEX([8]Orçamento!$C$2:$ZZ$2,1,MATCH(N$1,[8]Orçamento!$C$1:$ZZ$1,0)),0)</f>
        <v>26432.749999999996</v>
      </c>
      <c r="O2" s="7">
        <f>IFERROR(INDEX([1]Orçamento!$C$2:$ZZ$2,1,MATCH(O$1,[1]Orçamento!$C$1:$ZZ$1,0)),0) + IFERROR(INDEX([2]Orçamento!$C$2:$ZZ$2,1,MATCH(O$1,[2]Orçamento!$C$1:$ZZ$1,0)),0) + IFERROR(INDEX([3]Orçamento!$C$2:$ZZ$2,1,MATCH(O$1,[3]Orçamento!$C$1:$ZZ$1,0)),0) + IFERROR(INDEX([4]Orçamento!$C$2:$ZZ$2,1,MATCH(O$1,[4]Orçamento!$C$1:$ZZ$1,0)),0) + IFERROR(INDEX([5]Orçamento!$C$2:$ZZ$2,1,MATCH(O$1,[5]Orçamento!$C$1:$ZZ$1,0)),0) + IFERROR(INDEX([6]Orçamento!$C$2:$ZZ$2,1,MATCH(O$1,[6]Orçamento!$C$1:$ZZ$1,0)),0) + IFERROR(INDEX([7]Orçamento!$C$2:$ZZ$2,1,MATCH(O$1,[7]Orçamento!$C$1:$ZZ$1,0)),0) + IFERROR(INDEX([8]Orçamento!$C$2:$ZZ$2,1,MATCH(O$1,[8]Orçamento!$C$1:$ZZ$1,0)),0)</f>
        <v>26432.749999999996</v>
      </c>
      <c r="P2" s="7">
        <f>IFERROR(INDEX([1]Orçamento!$C$2:$ZZ$2,1,MATCH(P$1,[1]Orçamento!$C$1:$ZZ$1,0)),0) + IFERROR(INDEX([2]Orçamento!$C$2:$ZZ$2,1,MATCH(P$1,[2]Orçamento!$C$1:$ZZ$1,0)),0) + IFERROR(INDEX([3]Orçamento!$C$2:$ZZ$2,1,MATCH(P$1,[3]Orçamento!$C$1:$ZZ$1,0)),0) + IFERROR(INDEX([4]Orçamento!$C$2:$ZZ$2,1,MATCH(P$1,[4]Orçamento!$C$1:$ZZ$1,0)),0) + IFERROR(INDEX([5]Orçamento!$C$2:$ZZ$2,1,MATCH(P$1,[5]Orçamento!$C$1:$ZZ$1,0)),0) + IFERROR(INDEX([6]Orçamento!$C$2:$ZZ$2,1,MATCH(P$1,[6]Orçamento!$C$1:$ZZ$1,0)),0) + IFERROR(INDEX([7]Orçamento!$C$2:$ZZ$2,1,MATCH(P$1,[7]Orçamento!$C$1:$ZZ$1,0)),0) + IFERROR(INDEX([8]Orçamento!$C$2:$ZZ$2,1,MATCH(P$1,[8]Orçamento!$C$1:$ZZ$1,0)),0)</f>
        <v>26432.749999999996</v>
      </c>
      <c r="Q2" s="7">
        <f>IFERROR(INDEX([1]Orçamento!$C$2:$ZZ$2,1,MATCH(Q$1,[1]Orçamento!$C$1:$ZZ$1,0)),0) + IFERROR(INDEX([2]Orçamento!$C$2:$ZZ$2,1,MATCH(Q$1,[2]Orçamento!$C$1:$ZZ$1,0)),0) + IFERROR(INDEX([3]Orçamento!$C$2:$ZZ$2,1,MATCH(Q$1,[3]Orçamento!$C$1:$ZZ$1,0)),0) + IFERROR(INDEX([4]Orçamento!$C$2:$ZZ$2,1,MATCH(Q$1,[4]Orçamento!$C$1:$ZZ$1,0)),0) + IFERROR(INDEX([5]Orçamento!$C$2:$ZZ$2,1,MATCH(Q$1,[5]Orçamento!$C$1:$ZZ$1,0)),0) + IFERROR(INDEX([6]Orçamento!$C$2:$ZZ$2,1,MATCH(Q$1,[6]Orçamento!$C$1:$ZZ$1,0)),0) + IFERROR(INDEX([7]Orçamento!$C$2:$ZZ$2,1,MATCH(Q$1,[7]Orçamento!$C$1:$ZZ$1,0)),0) + IFERROR(INDEX([8]Orçamento!$C$2:$ZZ$2,1,MATCH(Q$1,[8]Orçamento!$C$1:$ZZ$1,0)),0)</f>
        <v>26432.749999999996</v>
      </c>
      <c r="R2" s="7">
        <f>IFERROR(INDEX([1]Orçamento!$C$2:$ZZ$2,1,MATCH(R$1,[1]Orçamento!$C$1:$ZZ$1,0)),0) + IFERROR(INDEX([2]Orçamento!$C$2:$ZZ$2,1,MATCH(R$1,[2]Orçamento!$C$1:$ZZ$1,0)),0) + IFERROR(INDEX([3]Orçamento!$C$2:$ZZ$2,1,MATCH(R$1,[3]Orçamento!$C$1:$ZZ$1,0)),0) + IFERROR(INDEX([4]Orçamento!$C$2:$ZZ$2,1,MATCH(R$1,[4]Orçamento!$C$1:$ZZ$1,0)),0) + IFERROR(INDEX([5]Orçamento!$C$2:$ZZ$2,1,MATCH(R$1,[5]Orçamento!$C$1:$ZZ$1,0)),0) + IFERROR(INDEX([6]Orçamento!$C$2:$ZZ$2,1,MATCH(R$1,[6]Orçamento!$C$1:$ZZ$1,0)),0) + IFERROR(INDEX([7]Orçamento!$C$2:$ZZ$2,1,MATCH(R$1,[7]Orçamento!$C$1:$ZZ$1,0)),0) + IFERROR(INDEX([8]Orçamento!$C$2:$ZZ$2,1,MATCH(R$1,[8]Orçamento!$C$1:$ZZ$1,0)),0)</f>
        <v>26432.749999999996</v>
      </c>
      <c r="S2" s="7">
        <f>IFERROR(INDEX([1]Orçamento!$C$2:$ZZ$2,1,MATCH(S$1,[1]Orçamento!$C$1:$ZZ$1,0)),0) + IFERROR(INDEX([2]Orçamento!$C$2:$ZZ$2,1,MATCH(S$1,[2]Orçamento!$C$1:$ZZ$1,0)),0) + IFERROR(INDEX([3]Orçamento!$C$2:$ZZ$2,1,MATCH(S$1,[3]Orçamento!$C$1:$ZZ$1,0)),0) + IFERROR(INDEX([4]Orçamento!$C$2:$ZZ$2,1,MATCH(S$1,[4]Orçamento!$C$1:$ZZ$1,0)),0) + IFERROR(INDEX([5]Orçamento!$C$2:$ZZ$2,1,MATCH(S$1,[5]Orçamento!$C$1:$ZZ$1,0)),0) + IFERROR(INDEX([6]Orçamento!$C$2:$ZZ$2,1,MATCH(S$1,[6]Orçamento!$C$1:$ZZ$1,0)),0) + IFERROR(INDEX([7]Orçamento!$C$2:$ZZ$2,1,MATCH(S$1,[7]Orçamento!$C$1:$ZZ$1,0)),0) + IFERROR(INDEX([8]Orçamento!$C$2:$ZZ$2,1,MATCH(S$1,[8]Orçamento!$C$1:$ZZ$1,0)),0)</f>
        <v>26432.749999999996</v>
      </c>
      <c r="T2" s="13">
        <f>SUM(C2:S2)</f>
        <v>324554.4375</v>
      </c>
      <c r="U2" s="7">
        <f>IFERROR(INDEX([1]Orçamento!$C$2:$ZZ$2,1,MATCH(U$1,[1]Orçamento!$C$1:$ZZ$1,0)),0) + IFERROR(INDEX([2]Orçamento!$C$2:$ZZ$2,1,MATCH(U$1,[2]Orçamento!$C$1:$ZZ$1,0)),0) + IFERROR(INDEX([3]Orçamento!$C$2:$ZZ$2,1,MATCH(U$1,[3]Orçamento!$C$1:$ZZ$1,0)),0) + IFERROR(INDEX([4]Orçamento!$C$2:$ZZ$2,1,MATCH(U$1,[4]Orçamento!$C$1:$ZZ$1,0)),0) + IFERROR(INDEX([5]Orçamento!$C$2:$ZZ$2,1,MATCH(U$1,[5]Orçamento!$C$1:$ZZ$1,0)),0) + IFERROR(INDEX([6]Orçamento!$C$2:$ZZ$2,1,MATCH(U$1,[6]Orçamento!$C$1:$ZZ$1,0)),0) + IFERROR(INDEX([7]Orçamento!$C$2:$ZZ$2,1,MATCH(U$1,[7]Orçamento!$C$1:$ZZ$1,0)),0) + IFERROR(INDEX([8]Orçamento!$C$2:$ZZ$2,1,MATCH(U$1,[8]Orçamento!$C$1:$ZZ$1,0)),0)</f>
        <v>55271.874999999993</v>
      </c>
      <c r="V2" s="7">
        <f>IFERROR(INDEX([1]Orçamento!$C$2:$ZZ$2,1,MATCH(V$1,[1]Orçamento!$C$1:$ZZ$1,0)),0) + IFERROR(INDEX([2]Orçamento!$C$2:$ZZ$2,1,MATCH(V$1,[2]Orçamento!$C$1:$ZZ$1,0)),0) + IFERROR(INDEX([3]Orçamento!$C$2:$ZZ$2,1,MATCH(V$1,[3]Orçamento!$C$1:$ZZ$1,0)),0) + IFERROR(INDEX([4]Orçamento!$C$2:$ZZ$2,1,MATCH(V$1,[4]Orçamento!$C$1:$ZZ$1,0)),0) + IFERROR(INDEX([5]Orçamento!$C$2:$ZZ$2,1,MATCH(V$1,[5]Orçamento!$C$1:$ZZ$1,0)),0) + IFERROR(INDEX([6]Orçamento!$C$2:$ZZ$2,1,MATCH(V$1,[6]Orçamento!$C$1:$ZZ$1,0)),0) + IFERROR(INDEX([7]Orçamento!$C$2:$ZZ$2,1,MATCH(V$1,[7]Orçamento!$C$1:$ZZ$1,0)),0) + IFERROR(INDEX([8]Orçamento!$C$2:$ZZ$2,1,MATCH(V$1,[8]Orçamento!$C$1:$ZZ$1,0)),0)</f>
        <v>55271.874999999993</v>
      </c>
      <c r="W2" s="7">
        <f>IFERROR(INDEX([1]Orçamento!$C$2:$ZZ$2,1,MATCH(W$1,[1]Orçamento!$C$1:$ZZ$1,0)),0) + IFERROR(INDEX([2]Orçamento!$C$2:$ZZ$2,1,MATCH(W$1,[2]Orçamento!$C$1:$ZZ$1,0)),0) + IFERROR(INDEX([3]Orçamento!$C$2:$ZZ$2,1,MATCH(W$1,[3]Orçamento!$C$1:$ZZ$1,0)),0) + IFERROR(INDEX([4]Orçamento!$C$2:$ZZ$2,1,MATCH(W$1,[4]Orçamento!$C$1:$ZZ$1,0)),0) + IFERROR(INDEX([5]Orçamento!$C$2:$ZZ$2,1,MATCH(W$1,[5]Orçamento!$C$1:$ZZ$1,0)),0) + IFERROR(INDEX([6]Orçamento!$C$2:$ZZ$2,1,MATCH(W$1,[6]Orçamento!$C$1:$ZZ$1,0)),0) + IFERROR(INDEX([7]Orçamento!$C$2:$ZZ$2,1,MATCH(W$1,[7]Orçamento!$C$1:$ZZ$1,0)),0) + IFERROR(INDEX([8]Orçamento!$C$2:$ZZ$2,1,MATCH(W$1,[8]Orçamento!$C$1:$ZZ$1,0)),0)</f>
        <v>55271.874999999993</v>
      </c>
      <c r="X2" s="7">
        <f>IFERROR(INDEX([1]Orçamento!$C$2:$ZZ$2,1,MATCH(X$1,[1]Orçamento!$C$1:$ZZ$1,0)),0) + IFERROR(INDEX([2]Orçamento!$C$2:$ZZ$2,1,MATCH(X$1,[2]Orçamento!$C$1:$ZZ$1,0)),0) + IFERROR(INDEX([3]Orçamento!$C$2:$ZZ$2,1,MATCH(X$1,[3]Orçamento!$C$1:$ZZ$1,0)),0) + IFERROR(INDEX([4]Orçamento!$C$2:$ZZ$2,1,MATCH(X$1,[4]Orçamento!$C$1:$ZZ$1,0)),0) + IFERROR(INDEX([5]Orçamento!$C$2:$ZZ$2,1,MATCH(X$1,[5]Orçamento!$C$1:$ZZ$1,0)),0) + IFERROR(INDEX([6]Orçamento!$C$2:$ZZ$2,1,MATCH(X$1,[6]Orçamento!$C$1:$ZZ$1,0)),0) + IFERROR(INDEX([7]Orçamento!$C$2:$ZZ$2,1,MATCH(X$1,[7]Orçamento!$C$1:$ZZ$1,0)),0) + IFERROR(INDEX([8]Orçamento!$C$2:$ZZ$2,1,MATCH(X$1,[8]Orçamento!$C$1:$ZZ$1,0)),0)</f>
        <v>57725.687499999993</v>
      </c>
      <c r="Y2" s="7">
        <f>IFERROR(INDEX([1]Orçamento!$C$2:$ZZ$2,1,MATCH(Y$1,[1]Orçamento!$C$1:$ZZ$1,0)),0) + IFERROR(INDEX([2]Orçamento!$C$2:$ZZ$2,1,MATCH(Y$1,[2]Orçamento!$C$1:$ZZ$1,0)),0) + IFERROR(INDEX([3]Orçamento!$C$2:$ZZ$2,1,MATCH(Y$1,[3]Orçamento!$C$1:$ZZ$1,0)),0) + IFERROR(INDEX([4]Orçamento!$C$2:$ZZ$2,1,MATCH(Y$1,[4]Orçamento!$C$1:$ZZ$1,0)),0) + IFERROR(INDEX([5]Orçamento!$C$2:$ZZ$2,1,MATCH(Y$1,[5]Orçamento!$C$1:$ZZ$1,0)),0) + IFERROR(INDEX([6]Orçamento!$C$2:$ZZ$2,1,MATCH(Y$1,[6]Orçamento!$C$1:$ZZ$1,0)),0) + IFERROR(INDEX([7]Orçamento!$C$2:$ZZ$2,1,MATCH(Y$1,[7]Orçamento!$C$1:$ZZ$1,0)),0) + IFERROR(INDEX([8]Orçamento!$C$2:$ZZ$2,1,MATCH(Y$1,[8]Orçamento!$C$1:$ZZ$1,0)),0)</f>
        <v>60179.499999999993</v>
      </c>
      <c r="Z2" s="7">
        <f>IFERROR(INDEX([1]Orçamento!$C$2:$ZZ$2,1,MATCH(Z$1,[1]Orçamento!$C$1:$ZZ$1,0)),0) + IFERROR(INDEX([2]Orçamento!$C$2:$ZZ$2,1,MATCH(Z$1,[2]Orçamento!$C$1:$ZZ$1,0)),0) + IFERROR(INDEX([3]Orçamento!$C$2:$ZZ$2,1,MATCH(Z$1,[3]Orçamento!$C$1:$ZZ$1,0)),0) + IFERROR(INDEX([4]Orçamento!$C$2:$ZZ$2,1,MATCH(Z$1,[4]Orçamento!$C$1:$ZZ$1,0)),0) + IFERROR(INDEX([5]Orçamento!$C$2:$ZZ$2,1,MATCH(Z$1,[5]Orçamento!$C$1:$ZZ$1,0)),0) + IFERROR(INDEX([6]Orçamento!$C$2:$ZZ$2,1,MATCH(Z$1,[6]Orçamento!$C$1:$ZZ$1,0)),0) + IFERROR(INDEX([7]Orçamento!$C$2:$ZZ$2,1,MATCH(Z$1,[7]Orçamento!$C$1:$ZZ$1,0)),0) + IFERROR(INDEX([8]Orçamento!$C$2:$ZZ$2,1,MATCH(Z$1,[8]Orçamento!$C$1:$ZZ$1,0)),0)</f>
        <v>81704.624999999985</v>
      </c>
      <c r="AA2" s="7">
        <f>IFERROR(INDEX([1]Orçamento!$C$2:$ZZ$2,1,MATCH(AA$1,[1]Orçamento!$C$1:$ZZ$1,0)),0) + IFERROR(INDEX([2]Orçamento!$C$2:$ZZ$2,1,MATCH(AA$1,[2]Orçamento!$C$1:$ZZ$1,0)),0) + IFERROR(INDEX([3]Orçamento!$C$2:$ZZ$2,1,MATCH(AA$1,[3]Orçamento!$C$1:$ZZ$1,0)),0) + IFERROR(INDEX([4]Orçamento!$C$2:$ZZ$2,1,MATCH(AA$1,[4]Orçamento!$C$1:$ZZ$1,0)),0) + IFERROR(INDEX([5]Orçamento!$C$2:$ZZ$2,1,MATCH(AA$1,[5]Orçamento!$C$1:$ZZ$1,0)),0) + IFERROR(INDEX([6]Orçamento!$C$2:$ZZ$2,1,MATCH(AA$1,[6]Orçamento!$C$1:$ZZ$1,0)),0) + IFERROR(INDEX([7]Orçamento!$C$2:$ZZ$2,1,MATCH(AA$1,[7]Orçamento!$C$1:$ZZ$1,0)),0) + IFERROR(INDEX([8]Orçamento!$C$2:$ZZ$2,1,MATCH(AA$1,[8]Orçamento!$C$1:$ZZ$1,0)),0)</f>
        <v>81704.624999999985</v>
      </c>
      <c r="AB2" s="7">
        <f>IFERROR(INDEX([1]Orçamento!$C$2:$ZZ$2,1,MATCH(AB$1,[1]Orçamento!$C$1:$ZZ$1,0)),0) + IFERROR(INDEX([2]Orçamento!$C$2:$ZZ$2,1,MATCH(AB$1,[2]Orçamento!$C$1:$ZZ$1,0)),0) + IFERROR(INDEX([3]Orçamento!$C$2:$ZZ$2,1,MATCH(AB$1,[3]Orçamento!$C$1:$ZZ$1,0)),0) + IFERROR(INDEX([4]Orçamento!$C$2:$ZZ$2,1,MATCH(AB$1,[4]Orçamento!$C$1:$ZZ$1,0)),0) + IFERROR(INDEX([5]Orçamento!$C$2:$ZZ$2,1,MATCH(AB$1,[5]Orçamento!$C$1:$ZZ$1,0)),0) + IFERROR(INDEX([6]Orçamento!$C$2:$ZZ$2,1,MATCH(AB$1,[6]Orçamento!$C$1:$ZZ$1,0)),0) + IFERROR(INDEX([7]Orçamento!$C$2:$ZZ$2,1,MATCH(AB$1,[7]Orçamento!$C$1:$ZZ$1,0)),0) + IFERROR(INDEX([8]Orçamento!$C$2:$ZZ$2,1,MATCH(AB$1,[8]Orçamento!$C$1:$ZZ$1,0)),0)</f>
        <v>81704.624999999985</v>
      </c>
      <c r="AC2" s="7">
        <f>IFERROR(INDEX([1]Orçamento!$C$2:$ZZ$2,1,MATCH(AC$1,[1]Orçamento!$C$1:$ZZ$1,0)),0) + IFERROR(INDEX([2]Orçamento!$C$2:$ZZ$2,1,MATCH(AC$1,[2]Orçamento!$C$1:$ZZ$1,0)),0) + IFERROR(INDEX([3]Orçamento!$C$2:$ZZ$2,1,MATCH(AC$1,[3]Orçamento!$C$1:$ZZ$1,0)),0) + IFERROR(INDEX([4]Orçamento!$C$2:$ZZ$2,1,MATCH(AC$1,[4]Orçamento!$C$1:$ZZ$1,0)),0) + IFERROR(INDEX([5]Orçamento!$C$2:$ZZ$2,1,MATCH(AC$1,[5]Orçamento!$C$1:$ZZ$1,0)),0) + IFERROR(INDEX([6]Orçamento!$C$2:$ZZ$2,1,MATCH(AC$1,[6]Orçamento!$C$1:$ZZ$1,0)),0) + IFERROR(INDEX([7]Orçamento!$C$2:$ZZ$2,1,MATCH(AC$1,[7]Orçamento!$C$1:$ZZ$1,0)),0) + IFERROR(INDEX([8]Orçamento!$C$2:$ZZ$2,1,MATCH(AC$1,[8]Orçamento!$C$1:$ZZ$1,0)),0)</f>
        <v>81704.624999999985</v>
      </c>
      <c r="AD2" s="7">
        <f>IFERROR(INDEX([1]Orçamento!$C$2:$ZZ$2,1,MATCH(AD$1,[1]Orçamento!$C$1:$ZZ$1,0)),0) + IFERROR(INDEX([2]Orçamento!$C$2:$ZZ$2,1,MATCH(AD$1,[2]Orçamento!$C$1:$ZZ$1,0)),0) + IFERROR(INDEX([3]Orçamento!$C$2:$ZZ$2,1,MATCH(AD$1,[3]Orçamento!$C$1:$ZZ$1,0)),0) + IFERROR(INDEX([4]Orçamento!$C$2:$ZZ$2,1,MATCH(AD$1,[4]Orçamento!$C$1:$ZZ$1,0)),0) + IFERROR(INDEX([5]Orçamento!$C$2:$ZZ$2,1,MATCH(AD$1,[5]Orçamento!$C$1:$ZZ$1,0)),0) + IFERROR(INDEX([6]Orçamento!$C$2:$ZZ$2,1,MATCH(AD$1,[6]Orçamento!$C$1:$ZZ$1,0)),0) + IFERROR(INDEX([7]Orçamento!$C$2:$ZZ$2,1,MATCH(AD$1,[7]Orçamento!$C$1:$ZZ$1,0)),0) + IFERROR(INDEX([8]Orçamento!$C$2:$ZZ$2,1,MATCH(AD$1,[8]Orçamento!$C$1:$ZZ$1,0)),0)</f>
        <v>81704.624999999985</v>
      </c>
      <c r="AE2" s="7">
        <f>IFERROR(INDEX([1]Orçamento!$C$2:$ZZ$2,1,MATCH(AE$1,[1]Orçamento!$C$1:$ZZ$1,0)),0) + IFERROR(INDEX([2]Orçamento!$C$2:$ZZ$2,1,MATCH(AE$1,[2]Orçamento!$C$1:$ZZ$1,0)),0) + IFERROR(INDEX([3]Orçamento!$C$2:$ZZ$2,1,MATCH(AE$1,[3]Orçamento!$C$1:$ZZ$1,0)),0) + IFERROR(INDEX([4]Orçamento!$C$2:$ZZ$2,1,MATCH(AE$1,[4]Orçamento!$C$1:$ZZ$1,0)),0) + IFERROR(INDEX([5]Orçamento!$C$2:$ZZ$2,1,MATCH(AE$1,[5]Orçamento!$C$1:$ZZ$1,0)),0) + IFERROR(INDEX([6]Orçamento!$C$2:$ZZ$2,1,MATCH(AE$1,[6]Orçamento!$C$1:$ZZ$1,0)),0) + IFERROR(INDEX([7]Orçamento!$C$2:$ZZ$2,1,MATCH(AE$1,[7]Orçamento!$C$1:$ZZ$1,0)),0) + IFERROR(INDEX([8]Orçamento!$C$2:$ZZ$2,1,MATCH(AE$1,[8]Orçamento!$C$1:$ZZ$1,0)),0)</f>
        <v>84158.437499999985</v>
      </c>
      <c r="AF2" s="7">
        <f>IFERROR(INDEX([1]Orçamento!$C$2:$ZZ$2,1,MATCH(AF$1,[1]Orçamento!$C$1:$ZZ$1,0)),0) + IFERROR(INDEX([2]Orçamento!$C$2:$ZZ$2,1,MATCH(AF$1,[2]Orçamento!$C$1:$ZZ$1,0)),0) + IFERROR(INDEX([3]Orçamento!$C$2:$ZZ$2,1,MATCH(AF$1,[3]Orçamento!$C$1:$ZZ$1,0)),0) + IFERROR(INDEX([4]Orçamento!$C$2:$ZZ$2,1,MATCH(AF$1,[4]Orçamento!$C$1:$ZZ$1,0)),0) + IFERROR(INDEX([5]Orçamento!$C$2:$ZZ$2,1,MATCH(AF$1,[5]Orçamento!$C$1:$ZZ$1,0)),0) + IFERROR(INDEX([6]Orçamento!$C$2:$ZZ$2,1,MATCH(AF$1,[6]Orçamento!$C$1:$ZZ$1,0)),0) + IFERROR(INDEX([7]Orçamento!$C$2:$ZZ$2,1,MATCH(AF$1,[7]Orçamento!$C$1:$ZZ$1,0)),0) + IFERROR(INDEX([8]Orçamento!$C$2:$ZZ$2,1,MATCH(AF$1,[8]Orçamento!$C$1:$ZZ$1,0)),0)</f>
        <v>86612.249999999985</v>
      </c>
      <c r="AG2" s="13">
        <f>SUM(T2:AF2)</f>
        <v>1187569.0625</v>
      </c>
      <c r="AH2" s="7">
        <f>IFERROR(INDEX([1]Orçamento!$C$2:$ZZ$2,1,MATCH(AH$1,[1]Orçamento!$C$1:$ZZ$1,0)),0) + IFERROR(INDEX([2]Orçamento!$C$2:$ZZ$2,1,MATCH(AH$1,[2]Orçamento!$C$1:$ZZ$1,0)),0) + IFERROR(INDEX([3]Orçamento!$C$2:$ZZ$2,1,MATCH(AH$1,[3]Orçamento!$C$1:$ZZ$1,0)),0) + IFERROR(INDEX([4]Orçamento!$C$2:$ZZ$2,1,MATCH(AH$1,[4]Orçamento!$C$1:$ZZ$1,0)),0) + IFERROR(INDEX([5]Orçamento!$C$2:$ZZ$2,1,MATCH(AH$1,[5]Orçamento!$C$1:$ZZ$1,0)),0) + IFERROR(INDEX([6]Orçamento!$C$2:$ZZ$2,1,MATCH(AH$1,[6]Orçamento!$C$1:$ZZ$1,0)),0) + IFERROR(INDEX([7]Orçamento!$C$2:$ZZ$2,1,MATCH(AH$1,[7]Orçamento!$C$1:$ZZ$1,0)),0) + IFERROR(INDEX([8]Orçamento!$C$2:$ZZ$2,1,MATCH(AH$1,[8]Orçamento!$C$1:$ZZ$1,0)),0)</f>
        <v>170139.625</v>
      </c>
      <c r="AI2" s="7">
        <f>IFERROR(INDEX([1]Orçamento!$C$2:$ZZ$2,1,MATCH(AI$1,[1]Orçamento!$C$1:$ZZ$1,0)),0) + IFERROR(INDEX([2]Orçamento!$C$2:$ZZ$2,1,MATCH(AI$1,[2]Orçamento!$C$1:$ZZ$1,0)),0) + IFERROR(INDEX([3]Orçamento!$C$2:$ZZ$2,1,MATCH(AI$1,[3]Orçamento!$C$1:$ZZ$1,0)),0) + IFERROR(INDEX([4]Orçamento!$C$2:$ZZ$2,1,MATCH(AI$1,[4]Orçamento!$C$1:$ZZ$1,0)),0) + IFERROR(INDEX([5]Orçamento!$C$2:$ZZ$2,1,MATCH(AI$1,[5]Orçamento!$C$1:$ZZ$1,0)),0) + IFERROR(INDEX([6]Orçamento!$C$2:$ZZ$2,1,MATCH(AI$1,[6]Orçamento!$C$1:$ZZ$1,0)),0) + IFERROR(INDEX([7]Orçamento!$C$2:$ZZ$2,1,MATCH(AI$1,[7]Orçamento!$C$1:$ZZ$1,0)),0) + IFERROR(INDEX([8]Orçamento!$C$2:$ZZ$2,1,MATCH(AI$1,[8]Orçamento!$C$1:$ZZ$1,0)),0)</f>
        <v>170139.625</v>
      </c>
      <c r="AJ2" s="7">
        <f>IFERROR(INDEX([1]Orçamento!$C$2:$ZZ$2,1,MATCH(AJ$1,[1]Orçamento!$C$1:$ZZ$1,0)),0) + IFERROR(INDEX([2]Orçamento!$C$2:$ZZ$2,1,MATCH(AJ$1,[2]Orçamento!$C$1:$ZZ$1,0)),0) + IFERROR(INDEX([3]Orçamento!$C$2:$ZZ$2,1,MATCH(AJ$1,[3]Orçamento!$C$1:$ZZ$1,0)),0) + IFERROR(INDEX([4]Orçamento!$C$2:$ZZ$2,1,MATCH(AJ$1,[4]Orçamento!$C$1:$ZZ$1,0)),0) + IFERROR(INDEX([5]Orçamento!$C$2:$ZZ$2,1,MATCH(AJ$1,[5]Orçamento!$C$1:$ZZ$1,0)),0) + IFERROR(INDEX([6]Orçamento!$C$2:$ZZ$2,1,MATCH(AJ$1,[6]Orçamento!$C$1:$ZZ$1,0)),0) + IFERROR(INDEX([7]Orçamento!$C$2:$ZZ$2,1,MATCH(AJ$1,[7]Orçamento!$C$1:$ZZ$1,0)),0) + IFERROR(INDEX([8]Orçamento!$C$2:$ZZ$2,1,MATCH(AJ$1,[8]Orçamento!$C$1:$ZZ$1,0)),0)</f>
        <v>170139.625</v>
      </c>
      <c r="AK2" s="7">
        <f>IFERROR(INDEX([1]Orçamento!$C$2:$ZZ$2,1,MATCH(AK$1,[1]Orçamento!$C$1:$ZZ$1,0)),0) + IFERROR(INDEX([2]Orçamento!$C$2:$ZZ$2,1,MATCH(AK$1,[2]Orçamento!$C$1:$ZZ$1,0)),0) + IFERROR(INDEX([3]Orçamento!$C$2:$ZZ$2,1,MATCH(AK$1,[3]Orçamento!$C$1:$ZZ$1,0)),0) + IFERROR(INDEX([4]Orçamento!$C$2:$ZZ$2,1,MATCH(AK$1,[4]Orçamento!$C$1:$ZZ$1,0)),0) + IFERROR(INDEX([5]Orçamento!$C$2:$ZZ$2,1,MATCH(AK$1,[5]Orçamento!$C$1:$ZZ$1,0)),0) + IFERROR(INDEX([6]Orçamento!$C$2:$ZZ$2,1,MATCH(AK$1,[6]Orçamento!$C$1:$ZZ$1,0)),0) + IFERROR(INDEX([7]Orçamento!$C$2:$ZZ$2,1,MATCH(AK$1,[7]Orçamento!$C$1:$ZZ$1,0)),0) + IFERROR(INDEX([8]Orçamento!$C$2:$ZZ$2,1,MATCH(AK$1,[8]Orçamento!$C$1:$ZZ$1,0)),0)</f>
        <v>172593.4375</v>
      </c>
      <c r="AL2" s="7">
        <f>IFERROR(INDEX([1]Orçamento!$C$2:$ZZ$2,1,MATCH(AL$1,[1]Orçamento!$C$1:$ZZ$1,0)),0) + IFERROR(INDEX([2]Orçamento!$C$2:$ZZ$2,1,MATCH(AL$1,[2]Orçamento!$C$1:$ZZ$1,0)),0) + IFERROR(INDEX([3]Orçamento!$C$2:$ZZ$2,1,MATCH(AL$1,[3]Orçamento!$C$1:$ZZ$1,0)),0) + IFERROR(INDEX([4]Orçamento!$C$2:$ZZ$2,1,MATCH(AL$1,[4]Orçamento!$C$1:$ZZ$1,0)),0) + IFERROR(INDEX([5]Orçamento!$C$2:$ZZ$2,1,MATCH(AL$1,[5]Orçamento!$C$1:$ZZ$1,0)),0) + IFERROR(INDEX([6]Orçamento!$C$2:$ZZ$2,1,MATCH(AL$1,[6]Orçamento!$C$1:$ZZ$1,0)),0) + IFERROR(INDEX([7]Orçamento!$C$2:$ZZ$2,1,MATCH(AL$1,[7]Orçamento!$C$1:$ZZ$1,0)),0) + IFERROR(INDEX([8]Orçamento!$C$2:$ZZ$2,1,MATCH(AL$1,[8]Orçamento!$C$1:$ZZ$1,0)),0)</f>
        <v>175047.25</v>
      </c>
      <c r="AM2" s="7">
        <f>IFERROR(INDEX([1]Orçamento!$C$2:$ZZ$2,1,MATCH(AM$1,[1]Orçamento!$C$1:$ZZ$1,0)),0) + IFERROR(INDEX([2]Orçamento!$C$2:$ZZ$2,1,MATCH(AM$1,[2]Orçamento!$C$1:$ZZ$1,0)),0) + IFERROR(INDEX([3]Orçamento!$C$2:$ZZ$2,1,MATCH(AM$1,[3]Orçamento!$C$1:$ZZ$1,0)),0) + IFERROR(INDEX([4]Orçamento!$C$2:$ZZ$2,1,MATCH(AM$1,[4]Orçamento!$C$1:$ZZ$1,0)),0) + IFERROR(INDEX([5]Orçamento!$C$2:$ZZ$2,1,MATCH(AM$1,[5]Orçamento!$C$1:$ZZ$1,0)),0) + IFERROR(INDEX([6]Orçamento!$C$2:$ZZ$2,1,MATCH(AM$1,[6]Orçamento!$C$1:$ZZ$1,0)),0) + IFERROR(INDEX([7]Orçamento!$C$2:$ZZ$2,1,MATCH(AM$1,[7]Orçamento!$C$1:$ZZ$1,0)),0) + IFERROR(INDEX([8]Orçamento!$C$2:$ZZ$2,1,MATCH(AM$1,[8]Orçamento!$C$1:$ZZ$1,0)),0)</f>
        <v>196572.375</v>
      </c>
      <c r="AN2" s="7">
        <f>IFERROR(INDEX([1]Orçamento!$C$2:$ZZ$2,1,MATCH(AN$1,[1]Orçamento!$C$1:$ZZ$1,0)),0) + IFERROR(INDEX([2]Orçamento!$C$2:$ZZ$2,1,MATCH(AN$1,[2]Orçamento!$C$1:$ZZ$1,0)),0) + IFERROR(INDEX([3]Orçamento!$C$2:$ZZ$2,1,MATCH(AN$1,[3]Orçamento!$C$1:$ZZ$1,0)),0) + IFERROR(INDEX([4]Orçamento!$C$2:$ZZ$2,1,MATCH(AN$1,[4]Orçamento!$C$1:$ZZ$1,0)),0) + IFERROR(INDEX([5]Orçamento!$C$2:$ZZ$2,1,MATCH(AN$1,[5]Orçamento!$C$1:$ZZ$1,0)),0) + IFERROR(INDEX([6]Orçamento!$C$2:$ZZ$2,1,MATCH(AN$1,[6]Orçamento!$C$1:$ZZ$1,0)),0) + IFERROR(INDEX([7]Orçamento!$C$2:$ZZ$2,1,MATCH(AN$1,[7]Orçamento!$C$1:$ZZ$1,0)),0) + IFERROR(INDEX([8]Orçamento!$C$2:$ZZ$2,1,MATCH(AN$1,[8]Orçamento!$C$1:$ZZ$1,0)),0)</f>
        <v>196572.375</v>
      </c>
      <c r="AO2" s="7">
        <f>IFERROR(INDEX([1]Orçamento!$C$2:$ZZ$2,1,MATCH(AO$1,[1]Orçamento!$C$1:$ZZ$1,0)),0) + IFERROR(INDEX([2]Orçamento!$C$2:$ZZ$2,1,MATCH(AO$1,[2]Orçamento!$C$1:$ZZ$1,0)),0) + IFERROR(INDEX([3]Orçamento!$C$2:$ZZ$2,1,MATCH(AO$1,[3]Orçamento!$C$1:$ZZ$1,0)),0) + IFERROR(INDEX([4]Orçamento!$C$2:$ZZ$2,1,MATCH(AO$1,[4]Orçamento!$C$1:$ZZ$1,0)),0) + IFERROR(INDEX([5]Orçamento!$C$2:$ZZ$2,1,MATCH(AO$1,[5]Orçamento!$C$1:$ZZ$1,0)),0) + IFERROR(INDEX([6]Orçamento!$C$2:$ZZ$2,1,MATCH(AO$1,[6]Orçamento!$C$1:$ZZ$1,0)),0) + IFERROR(INDEX([7]Orçamento!$C$2:$ZZ$2,1,MATCH(AO$1,[7]Orçamento!$C$1:$ZZ$1,0)),0) + IFERROR(INDEX([8]Orçamento!$C$2:$ZZ$2,1,MATCH(AO$1,[8]Orçamento!$C$1:$ZZ$1,0)),0)</f>
        <v>196572.375</v>
      </c>
      <c r="AP2" s="7">
        <f>IFERROR(INDEX([1]Orçamento!$C$2:$ZZ$2,1,MATCH(AP$1,[1]Orçamento!$C$1:$ZZ$1,0)),0) + IFERROR(INDEX([2]Orçamento!$C$2:$ZZ$2,1,MATCH(AP$1,[2]Orçamento!$C$1:$ZZ$1,0)),0) + IFERROR(INDEX([3]Orçamento!$C$2:$ZZ$2,1,MATCH(AP$1,[3]Orçamento!$C$1:$ZZ$1,0)),0) + IFERROR(INDEX([4]Orçamento!$C$2:$ZZ$2,1,MATCH(AP$1,[4]Orçamento!$C$1:$ZZ$1,0)),0) + IFERROR(INDEX([5]Orçamento!$C$2:$ZZ$2,1,MATCH(AP$1,[5]Orçamento!$C$1:$ZZ$1,0)),0) + IFERROR(INDEX([6]Orçamento!$C$2:$ZZ$2,1,MATCH(AP$1,[6]Orçamento!$C$1:$ZZ$1,0)),0) + IFERROR(INDEX([7]Orçamento!$C$2:$ZZ$2,1,MATCH(AP$1,[7]Orçamento!$C$1:$ZZ$1,0)),0) + IFERROR(INDEX([8]Orçamento!$C$2:$ZZ$2,1,MATCH(AP$1,[8]Orçamento!$C$1:$ZZ$1,0)),0)</f>
        <v>196572.375</v>
      </c>
      <c r="AQ2" s="7">
        <f>IFERROR(INDEX([1]Orçamento!$C$2:$ZZ$2,1,MATCH(AQ$1,[1]Orçamento!$C$1:$ZZ$1,0)),0) + IFERROR(INDEX([2]Orçamento!$C$2:$ZZ$2,1,MATCH(AQ$1,[2]Orçamento!$C$1:$ZZ$1,0)),0) + IFERROR(INDEX([3]Orçamento!$C$2:$ZZ$2,1,MATCH(AQ$1,[3]Orçamento!$C$1:$ZZ$1,0)),0) + IFERROR(INDEX([4]Orçamento!$C$2:$ZZ$2,1,MATCH(AQ$1,[4]Orçamento!$C$1:$ZZ$1,0)),0) + IFERROR(INDEX([5]Orçamento!$C$2:$ZZ$2,1,MATCH(AQ$1,[5]Orçamento!$C$1:$ZZ$1,0)),0) + IFERROR(INDEX([6]Orçamento!$C$2:$ZZ$2,1,MATCH(AQ$1,[6]Orçamento!$C$1:$ZZ$1,0)),0) + IFERROR(INDEX([7]Orçamento!$C$2:$ZZ$2,1,MATCH(AQ$1,[7]Orçamento!$C$1:$ZZ$1,0)),0) + IFERROR(INDEX([8]Orçamento!$C$2:$ZZ$2,1,MATCH(AQ$1,[8]Orçamento!$C$1:$ZZ$1,0)),0)</f>
        <v>196572.375</v>
      </c>
      <c r="AR2" s="7">
        <f>IFERROR(INDEX([1]Orçamento!$C$2:$ZZ$2,1,MATCH(AR$1,[1]Orçamento!$C$1:$ZZ$1,0)),0) + IFERROR(INDEX([2]Orçamento!$C$2:$ZZ$2,1,MATCH(AR$1,[2]Orçamento!$C$1:$ZZ$1,0)),0) + IFERROR(INDEX([3]Orçamento!$C$2:$ZZ$2,1,MATCH(AR$1,[3]Orçamento!$C$1:$ZZ$1,0)),0) + IFERROR(INDEX([4]Orçamento!$C$2:$ZZ$2,1,MATCH(AR$1,[4]Orçamento!$C$1:$ZZ$1,0)),0) + IFERROR(INDEX([5]Orçamento!$C$2:$ZZ$2,1,MATCH(AR$1,[5]Orçamento!$C$1:$ZZ$1,0)),0) + IFERROR(INDEX([6]Orçamento!$C$2:$ZZ$2,1,MATCH(AR$1,[6]Orçamento!$C$1:$ZZ$1,0)),0) + IFERROR(INDEX([7]Orçamento!$C$2:$ZZ$2,1,MATCH(AR$1,[7]Orçamento!$C$1:$ZZ$1,0)),0) + IFERROR(INDEX([8]Orçamento!$C$2:$ZZ$2,1,MATCH(AR$1,[8]Orçamento!$C$1:$ZZ$1,0)),0)</f>
        <v>199026.1875</v>
      </c>
      <c r="AS2" s="7">
        <f>IFERROR(INDEX([1]Orçamento!$C$2:$ZZ$2,1,MATCH(AS$1,[1]Orçamento!$C$1:$ZZ$1,0)),0) + IFERROR(INDEX([2]Orçamento!$C$2:$ZZ$2,1,MATCH(AS$1,[2]Orçamento!$C$1:$ZZ$1,0)),0) + IFERROR(INDEX([3]Orçamento!$C$2:$ZZ$2,1,MATCH(AS$1,[3]Orçamento!$C$1:$ZZ$1,0)),0) + IFERROR(INDEX([4]Orçamento!$C$2:$ZZ$2,1,MATCH(AS$1,[4]Orçamento!$C$1:$ZZ$1,0)),0) + IFERROR(INDEX([5]Orçamento!$C$2:$ZZ$2,1,MATCH(AS$1,[5]Orçamento!$C$1:$ZZ$1,0)),0) + IFERROR(INDEX([6]Orçamento!$C$2:$ZZ$2,1,MATCH(AS$1,[6]Orçamento!$C$1:$ZZ$1,0)),0) + IFERROR(INDEX([7]Orçamento!$C$2:$ZZ$2,1,MATCH(AS$1,[7]Orçamento!$C$1:$ZZ$1,0)),0) + IFERROR(INDEX([8]Orçamento!$C$2:$ZZ$2,1,MATCH(AS$1,[8]Orçamento!$C$1:$ZZ$1,0)),0)</f>
        <v>201480</v>
      </c>
      <c r="AT2" s="13">
        <f>SUM(AG2:AS2)</f>
        <v>3428996.6875</v>
      </c>
      <c r="AU2" s="7">
        <f>IFERROR(INDEX([1]Orçamento!$C$2:$ZZ$2,1,MATCH(AU$1,[1]Orçamento!$C$1:$ZZ$1,0)),0) + IFERROR(INDEX([2]Orçamento!$C$2:$ZZ$2,1,MATCH(AU$1,[2]Orçamento!$C$1:$ZZ$1,0)),0) + IFERROR(INDEX([3]Orçamento!$C$2:$ZZ$2,1,MATCH(AU$1,[3]Orçamento!$C$1:$ZZ$1,0)),0) + IFERROR(INDEX([4]Orçamento!$C$2:$ZZ$2,1,MATCH(AU$1,[4]Orçamento!$C$1:$ZZ$1,0)),0) + IFERROR(INDEX([5]Orçamento!$C$2:$ZZ$2,1,MATCH(AU$1,[5]Orçamento!$C$1:$ZZ$1,0)),0) + IFERROR(INDEX([6]Orçamento!$C$2:$ZZ$2,1,MATCH(AU$1,[6]Orçamento!$C$1:$ZZ$1,0)),0) + IFERROR(INDEX([7]Orçamento!$C$2:$ZZ$2,1,MATCH(AU$1,[7]Orçamento!$C$1:$ZZ$1,0)),0) + IFERROR(INDEX([8]Orçamento!$C$2:$ZZ$2,1,MATCH(AU$1,[8]Orçamento!$C$1:$ZZ$1,0)),0)</f>
        <v>335955.25</v>
      </c>
      <c r="AV2" s="7">
        <f>IFERROR(INDEX([1]Orçamento!$C$2:$ZZ$2,1,MATCH(AV$1,[1]Orçamento!$C$1:$ZZ$1,0)),0) + IFERROR(INDEX([2]Orçamento!$C$2:$ZZ$2,1,MATCH(AV$1,[2]Orçamento!$C$1:$ZZ$1,0)),0) + IFERROR(INDEX([3]Orçamento!$C$2:$ZZ$2,1,MATCH(AV$1,[3]Orçamento!$C$1:$ZZ$1,0)),0) + IFERROR(INDEX([4]Orçamento!$C$2:$ZZ$2,1,MATCH(AV$1,[4]Orçamento!$C$1:$ZZ$1,0)),0) + IFERROR(INDEX([5]Orçamento!$C$2:$ZZ$2,1,MATCH(AV$1,[5]Orçamento!$C$1:$ZZ$1,0)),0) + IFERROR(INDEX([6]Orçamento!$C$2:$ZZ$2,1,MATCH(AV$1,[6]Orçamento!$C$1:$ZZ$1,0)),0) + IFERROR(INDEX([7]Orçamento!$C$2:$ZZ$2,1,MATCH(AV$1,[7]Orçamento!$C$1:$ZZ$1,0)),0) + IFERROR(INDEX([8]Orçamento!$C$2:$ZZ$2,1,MATCH(AV$1,[8]Orçamento!$C$1:$ZZ$1,0)),0)</f>
        <v>335955.25</v>
      </c>
      <c r="AW2" s="7">
        <f>IFERROR(INDEX([1]Orçamento!$C$2:$ZZ$2,1,MATCH(AW$1,[1]Orçamento!$C$1:$ZZ$1,0)),0) + IFERROR(INDEX([2]Orçamento!$C$2:$ZZ$2,1,MATCH(AW$1,[2]Orçamento!$C$1:$ZZ$1,0)),0) + IFERROR(INDEX([3]Orçamento!$C$2:$ZZ$2,1,MATCH(AW$1,[3]Orçamento!$C$1:$ZZ$1,0)),0) + IFERROR(INDEX([4]Orçamento!$C$2:$ZZ$2,1,MATCH(AW$1,[4]Orçamento!$C$1:$ZZ$1,0)),0) + IFERROR(INDEX([5]Orçamento!$C$2:$ZZ$2,1,MATCH(AW$1,[5]Orçamento!$C$1:$ZZ$1,0)),0) + IFERROR(INDEX([6]Orçamento!$C$2:$ZZ$2,1,MATCH(AW$1,[6]Orçamento!$C$1:$ZZ$1,0)),0) + IFERROR(INDEX([7]Orçamento!$C$2:$ZZ$2,1,MATCH(AW$1,[7]Orçamento!$C$1:$ZZ$1,0)),0) + IFERROR(INDEX([8]Orçamento!$C$2:$ZZ$2,1,MATCH(AW$1,[8]Orçamento!$C$1:$ZZ$1,0)),0)</f>
        <v>335955.25</v>
      </c>
      <c r="AX2" s="7">
        <f>IFERROR(INDEX([1]Orçamento!$C$2:$ZZ$2,1,MATCH(AX$1,[1]Orçamento!$C$1:$ZZ$1,0)),0) + IFERROR(INDEX([2]Orçamento!$C$2:$ZZ$2,1,MATCH(AX$1,[2]Orçamento!$C$1:$ZZ$1,0)),0) + IFERROR(INDEX([3]Orçamento!$C$2:$ZZ$2,1,MATCH(AX$1,[3]Orçamento!$C$1:$ZZ$1,0)),0) + IFERROR(INDEX([4]Orçamento!$C$2:$ZZ$2,1,MATCH(AX$1,[4]Orçamento!$C$1:$ZZ$1,0)),0) + IFERROR(INDEX([5]Orçamento!$C$2:$ZZ$2,1,MATCH(AX$1,[5]Orçamento!$C$1:$ZZ$1,0)),0) + IFERROR(INDEX([6]Orçamento!$C$2:$ZZ$2,1,MATCH(AX$1,[6]Orçamento!$C$1:$ZZ$1,0)),0) + IFERROR(INDEX([7]Orçamento!$C$2:$ZZ$2,1,MATCH(AX$1,[7]Orçamento!$C$1:$ZZ$1,0)),0) + IFERROR(INDEX([8]Orçamento!$C$2:$ZZ$2,1,MATCH(AX$1,[8]Orçamento!$C$1:$ZZ$1,0)),0)</f>
        <v>338409.0625</v>
      </c>
      <c r="AY2" s="7">
        <f>IFERROR(INDEX([1]Orçamento!$C$2:$ZZ$2,1,MATCH(AY$1,[1]Orçamento!$C$1:$ZZ$1,0)),0) + IFERROR(INDEX([2]Orçamento!$C$2:$ZZ$2,1,MATCH(AY$1,[2]Orçamento!$C$1:$ZZ$1,0)),0) + IFERROR(INDEX([3]Orçamento!$C$2:$ZZ$2,1,MATCH(AY$1,[3]Orçamento!$C$1:$ZZ$1,0)),0) + IFERROR(INDEX([4]Orçamento!$C$2:$ZZ$2,1,MATCH(AY$1,[4]Orçamento!$C$1:$ZZ$1,0)),0) + IFERROR(INDEX([5]Orçamento!$C$2:$ZZ$2,1,MATCH(AY$1,[5]Orçamento!$C$1:$ZZ$1,0)),0) + IFERROR(INDEX([6]Orçamento!$C$2:$ZZ$2,1,MATCH(AY$1,[6]Orçamento!$C$1:$ZZ$1,0)),0) + IFERROR(INDEX([7]Orçamento!$C$2:$ZZ$2,1,MATCH(AY$1,[7]Orçamento!$C$1:$ZZ$1,0)),0) + IFERROR(INDEX([8]Orçamento!$C$2:$ZZ$2,1,MATCH(AY$1,[8]Orçamento!$C$1:$ZZ$1,0)),0)</f>
        <v>340862.875</v>
      </c>
      <c r="AZ2" s="7">
        <f>IFERROR(INDEX([1]Orçamento!$C$2:$ZZ$2,1,MATCH(AZ$1,[1]Orçamento!$C$1:$ZZ$1,0)),0) + IFERROR(INDEX([2]Orçamento!$C$2:$ZZ$2,1,MATCH(AZ$1,[2]Orçamento!$C$1:$ZZ$1,0)),0) + IFERROR(INDEX([3]Orçamento!$C$2:$ZZ$2,1,MATCH(AZ$1,[3]Orçamento!$C$1:$ZZ$1,0)),0) + IFERROR(INDEX([4]Orçamento!$C$2:$ZZ$2,1,MATCH(AZ$1,[4]Orçamento!$C$1:$ZZ$1,0)),0) + IFERROR(INDEX([5]Orçamento!$C$2:$ZZ$2,1,MATCH(AZ$1,[5]Orçamento!$C$1:$ZZ$1,0)),0) + IFERROR(INDEX([6]Orçamento!$C$2:$ZZ$2,1,MATCH(AZ$1,[6]Orçamento!$C$1:$ZZ$1,0)),0) + IFERROR(INDEX([7]Orçamento!$C$2:$ZZ$2,1,MATCH(AZ$1,[7]Orçamento!$C$1:$ZZ$1,0)),0) + IFERROR(INDEX([8]Orçamento!$C$2:$ZZ$2,1,MATCH(AZ$1,[8]Orçamento!$C$1:$ZZ$1,0)),0)</f>
        <v>362388</v>
      </c>
      <c r="BA2" s="7">
        <f>IFERROR(INDEX([1]Orçamento!$C$2:$ZZ$2,1,MATCH(BA$1,[1]Orçamento!$C$1:$ZZ$1,0)),0) + IFERROR(INDEX([2]Orçamento!$C$2:$ZZ$2,1,MATCH(BA$1,[2]Orçamento!$C$1:$ZZ$1,0)),0) + IFERROR(INDEX([3]Orçamento!$C$2:$ZZ$2,1,MATCH(BA$1,[3]Orçamento!$C$1:$ZZ$1,0)),0) + IFERROR(INDEX([4]Orçamento!$C$2:$ZZ$2,1,MATCH(BA$1,[4]Orçamento!$C$1:$ZZ$1,0)),0) + IFERROR(INDEX([5]Orçamento!$C$2:$ZZ$2,1,MATCH(BA$1,[5]Orçamento!$C$1:$ZZ$1,0)),0) + IFERROR(INDEX([6]Orçamento!$C$2:$ZZ$2,1,MATCH(BA$1,[6]Orçamento!$C$1:$ZZ$1,0)),0) + IFERROR(INDEX([7]Orçamento!$C$2:$ZZ$2,1,MATCH(BA$1,[7]Orçamento!$C$1:$ZZ$1,0)),0) + IFERROR(INDEX([8]Orçamento!$C$2:$ZZ$2,1,MATCH(BA$1,[8]Orçamento!$C$1:$ZZ$1,0)),0)</f>
        <v>362388</v>
      </c>
      <c r="BB2" s="7">
        <f>IFERROR(INDEX([1]Orçamento!$C$2:$ZZ$2,1,MATCH(BB$1,[1]Orçamento!$C$1:$ZZ$1,0)),0) + IFERROR(INDEX([2]Orçamento!$C$2:$ZZ$2,1,MATCH(BB$1,[2]Orçamento!$C$1:$ZZ$1,0)),0) + IFERROR(INDEX([3]Orçamento!$C$2:$ZZ$2,1,MATCH(BB$1,[3]Orçamento!$C$1:$ZZ$1,0)),0) + IFERROR(INDEX([4]Orçamento!$C$2:$ZZ$2,1,MATCH(BB$1,[4]Orçamento!$C$1:$ZZ$1,0)),0) + IFERROR(INDEX([5]Orçamento!$C$2:$ZZ$2,1,MATCH(BB$1,[5]Orçamento!$C$1:$ZZ$1,0)),0) + IFERROR(INDEX([6]Orçamento!$C$2:$ZZ$2,1,MATCH(BB$1,[6]Orçamento!$C$1:$ZZ$1,0)),0) + IFERROR(INDEX([7]Orçamento!$C$2:$ZZ$2,1,MATCH(BB$1,[7]Orçamento!$C$1:$ZZ$1,0)),0) + IFERROR(INDEX([8]Orçamento!$C$2:$ZZ$2,1,MATCH(BB$1,[8]Orçamento!$C$1:$ZZ$1,0)),0)</f>
        <v>362388</v>
      </c>
      <c r="BC2" s="7">
        <f>IFERROR(INDEX([1]Orçamento!$C$2:$ZZ$2,1,MATCH(BC$1,[1]Orçamento!$C$1:$ZZ$1,0)),0) + IFERROR(INDEX([2]Orçamento!$C$2:$ZZ$2,1,MATCH(BC$1,[2]Orçamento!$C$1:$ZZ$1,0)),0) + IFERROR(INDEX([3]Orçamento!$C$2:$ZZ$2,1,MATCH(BC$1,[3]Orçamento!$C$1:$ZZ$1,0)),0) + IFERROR(INDEX([4]Orçamento!$C$2:$ZZ$2,1,MATCH(BC$1,[4]Orçamento!$C$1:$ZZ$1,0)),0) + IFERROR(INDEX([5]Orçamento!$C$2:$ZZ$2,1,MATCH(BC$1,[5]Orçamento!$C$1:$ZZ$1,0)),0) + IFERROR(INDEX([6]Orçamento!$C$2:$ZZ$2,1,MATCH(BC$1,[6]Orçamento!$C$1:$ZZ$1,0)),0) + IFERROR(INDEX([7]Orçamento!$C$2:$ZZ$2,1,MATCH(BC$1,[7]Orçamento!$C$1:$ZZ$1,0)),0) + IFERROR(INDEX([8]Orçamento!$C$2:$ZZ$2,1,MATCH(BC$1,[8]Orçamento!$C$1:$ZZ$1,0)),0)</f>
        <v>362388</v>
      </c>
      <c r="BD2" s="7">
        <f>IFERROR(INDEX([1]Orçamento!$C$2:$ZZ$2,1,MATCH(BD$1,[1]Orçamento!$C$1:$ZZ$1,0)),0) + IFERROR(INDEX([2]Orçamento!$C$2:$ZZ$2,1,MATCH(BD$1,[2]Orçamento!$C$1:$ZZ$1,0)),0) + IFERROR(INDEX([3]Orçamento!$C$2:$ZZ$2,1,MATCH(BD$1,[3]Orçamento!$C$1:$ZZ$1,0)),0) + IFERROR(INDEX([4]Orçamento!$C$2:$ZZ$2,1,MATCH(BD$1,[4]Orçamento!$C$1:$ZZ$1,0)),0) + IFERROR(INDEX([5]Orçamento!$C$2:$ZZ$2,1,MATCH(BD$1,[5]Orçamento!$C$1:$ZZ$1,0)),0) + IFERROR(INDEX([6]Orçamento!$C$2:$ZZ$2,1,MATCH(BD$1,[6]Orçamento!$C$1:$ZZ$1,0)),0) + IFERROR(INDEX([7]Orçamento!$C$2:$ZZ$2,1,MATCH(BD$1,[7]Orçamento!$C$1:$ZZ$1,0)),0) + IFERROR(INDEX([8]Orçamento!$C$2:$ZZ$2,1,MATCH(BD$1,[8]Orçamento!$C$1:$ZZ$1,0)),0)</f>
        <v>362388</v>
      </c>
      <c r="BE2" s="7">
        <f>IFERROR(INDEX([1]Orçamento!$C$2:$ZZ$2,1,MATCH(BE$1,[1]Orçamento!$C$1:$ZZ$1,0)),0) + IFERROR(INDEX([2]Orçamento!$C$2:$ZZ$2,1,MATCH(BE$1,[2]Orçamento!$C$1:$ZZ$1,0)),0) + IFERROR(INDEX([3]Orçamento!$C$2:$ZZ$2,1,MATCH(BE$1,[3]Orçamento!$C$1:$ZZ$1,0)),0) + IFERROR(INDEX([4]Orçamento!$C$2:$ZZ$2,1,MATCH(BE$1,[4]Orçamento!$C$1:$ZZ$1,0)),0) + IFERROR(INDEX([5]Orçamento!$C$2:$ZZ$2,1,MATCH(BE$1,[5]Orçamento!$C$1:$ZZ$1,0)),0) + IFERROR(INDEX([6]Orçamento!$C$2:$ZZ$2,1,MATCH(BE$1,[6]Orçamento!$C$1:$ZZ$1,0)),0) + IFERROR(INDEX([7]Orçamento!$C$2:$ZZ$2,1,MATCH(BE$1,[7]Orçamento!$C$1:$ZZ$1,0)),0) + IFERROR(INDEX([8]Orçamento!$C$2:$ZZ$2,1,MATCH(BE$1,[8]Orçamento!$C$1:$ZZ$1,0)),0)</f>
        <v>364841.8125</v>
      </c>
      <c r="BF2" s="7">
        <f>IFERROR(INDEX([1]Orçamento!$C$2:$ZZ$2,1,MATCH(BF$1,[1]Orçamento!$C$1:$ZZ$1,0)),0) + IFERROR(INDEX([2]Orçamento!$C$2:$ZZ$2,1,MATCH(BF$1,[2]Orçamento!$C$1:$ZZ$1,0)),0) + IFERROR(INDEX([3]Orçamento!$C$2:$ZZ$2,1,MATCH(BF$1,[3]Orçamento!$C$1:$ZZ$1,0)),0) + IFERROR(INDEX([4]Orçamento!$C$2:$ZZ$2,1,MATCH(BF$1,[4]Orçamento!$C$1:$ZZ$1,0)),0) + IFERROR(INDEX([5]Orçamento!$C$2:$ZZ$2,1,MATCH(BF$1,[5]Orçamento!$C$1:$ZZ$1,0)),0) + IFERROR(INDEX([6]Orçamento!$C$2:$ZZ$2,1,MATCH(BF$1,[6]Orçamento!$C$1:$ZZ$1,0)),0) + IFERROR(INDEX([7]Orçamento!$C$2:$ZZ$2,1,MATCH(BF$1,[7]Orçamento!$C$1:$ZZ$1,0)),0) + IFERROR(INDEX([8]Orçamento!$C$2:$ZZ$2,1,MATCH(BF$1,[8]Orçamento!$C$1:$ZZ$1,0)),0)</f>
        <v>367295.625</v>
      </c>
      <c r="BG2" s="13">
        <f>SUM(AT2:BF2)</f>
        <v>7660211.8125</v>
      </c>
      <c r="BH2" s="7">
        <f>IFERROR(INDEX([1]Orçamento!$C$2:$ZZ$2,1,MATCH(BH$1,[1]Orçamento!$C$1:$ZZ$1,0)),0) + IFERROR(INDEX([2]Orçamento!$C$2:$ZZ$2,1,MATCH(BH$1,[2]Orçamento!$C$1:$ZZ$1,0)),0) + IFERROR(INDEX([3]Orçamento!$C$2:$ZZ$2,1,MATCH(BH$1,[3]Orçamento!$C$1:$ZZ$1,0)),0) + IFERROR(INDEX([4]Orçamento!$C$2:$ZZ$2,1,MATCH(BH$1,[4]Orçamento!$C$1:$ZZ$1,0)),0) + IFERROR(INDEX([5]Orçamento!$C$2:$ZZ$2,1,MATCH(BH$1,[5]Orçamento!$C$1:$ZZ$1,0)),0) + IFERROR(INDEX([6]Orçamento!$C$2:$ZZ$2,1,MATCH(BH$1,[6]Orçamento!$C$1:$ZZ$1,0)),0) + IFERROR(INDEX([7]Orçamento!$C$2:$ZZ$2,1,MATCH(BH$1,[7]Orçamento!$C$1:$ZZ$1,0)),0) + IFERROR(INDEX([8]Orçamento!$C$2:$ZZ$2,1,MATCH(BH$1,[8]Orçamento!$C$1:$ZZ$1,0)),0)</f>
        <v>557042.74999999988</v>
      </c>
      <c r="BI2" s="7">
        <f>IFERROR(INDEX([1]Orçamento!$C$2:$ZZ$2,1,MATCH(BI$1,[1]Orçamento!$C$1:$ZZ$1,0)),0) + IFERROR(INDEX([2]Orçamento!$C$2:$ZZ$2,1,MATCH(BI$1,[2]Orçamento!$C$1:$ZZ$1,0)),0) + IFERROR(INDEX([3]Orçamento!$C$2:$ZZ$2,1,MATCH(BI$1,[3]Orçamento!$C$1:$ZZ$1,0)),0) + IFERROR(INDEX([4]Orçamento!$C$2:$ZZ$2,1,MATCH(BI$1,[4]Orçamento!$C$1:$ZZ$1,0)),0) + IFERROR(INDEX([5]Orçamento!$C$2:$ZZ$2,1,MATCH(BI$1,[5]Orçamento!$C$1:$ZZ$1,0)),0) + IFERROR(INDEX([6]Orçamento!$C$2:$ZZ$2,1,MATCH(BI$1,[6]Orçamento!$C$1:$ZZ$1,0)),0) + IFERROR(INDEX([7]Orçamento!$C$2:$ZZ$2,1,MATCH(BI$1,[7]Orçamento!$C$1:$ZZ$1,0)),0) + IFERROR(INDEX([8]Orçamento!$C$2:$ZZ$2,1,MATCH(BI$1,[8]Orçamento!$C$1:$ZZ$1,0)),0)</f>
        <v>557042.74999999988</v>
      </c>
      <c r="BJ2" s="7">
        <f>IFERROR(INDEX([1]Orçamento!$C$2:$ZZ$2,1,MATCH(BJ$1,[1]Orçamento!$C$1:$ZZ$1,0)),0) + IFERROR(INDEX([2]Orçamento!$C$2:$ZZ$2,1,MATCH(BJ$1,[2]Orçamento!$C$1:$ZZ$1,0)),0) + IFERROR(INDEX([3]Orçamento!$C$2:$ZZ$2,1,MATCH(BJ$1,[3]Orçamento!$C$1:$ZZ$1,0)),0) + IFERROR(INDEX([4]Orçamento!$C$2:$ZZ$2,1,MATCH(BJ$1,[4]Orçamento!$C$1:$ZZ$1,0)),0) + IFERROR(INDEX([5]Orçamento!$C$2:$ZZ$2,1,MATCH(BJ$1,[5]Orçamento!$C$1:$ZZ$1,0)),0) + IFERROR(INDEX([6]Orçamento!$C$2:$ZZ$2,1,MATCH(BJ$1,[6]Orçamento!$C$1:$ZZ$1,0)),0) + IFERROR(INDEX([7]Orçamento!$C$2:$ZZ$2,1,MATCH(BJ$1,[7]Orçamento!$C$1:$ZZ$1,0)),0) + IFERROR(INDEX([8]Orçamento!$C$2:$ZZ$2,1,MATCH(BJ$1,[8]Orçamento!$C$1:$ZZ$1,0)),0)</f>
        <v>557042.74999999988</v>
      </c>
      <c r="BK2" s="7">
        <f>IFERROR(INDEX([1]Orçamento!$C$2:$ZZ$2,1,MATCH(BK$1,[1]Orçamento!$C$1:$ZZ$1,0)),0) + IFERROR(INDEX([2]Orçamento!$C$2:$ZZ$2,1,MATCH(BK$1,[2]Orçamento!$C$1:$ZZ$1,0)),0) + IFERROR(INDEX([3]Orçamento!$C$2:$ZZ$2,1,MATCH(BK$1,[3]Orçamento!$C$1:$ZZ$1,0)),0) + IFERROR(INDEX([4]Orçamento!$C$2:$ZZ$2,1,MATCH(BK$1,[4]Orçamento!$C$1:$ZZ$1,0)),0) + IFERROR(INDEX([5]Orçamento!$C$2:$ZZ$2,1,MATCH(BK$1,[5]Orçamento!$C$1:$ZZ$1,0)),0) + IFERROR(INDEX([6]Orçamento!$C$2:$ZZ$2,1,MATCH(BK$1,[6]Orçamento!$C$1:$ZZ$1,0)),0) + IFERROR(INDEX([7]Orçamento!$C$2:$ZZ$2,1,MATCH(BK$1,[7]Orçamento!$C$1:$ZZ$1,0)),0) + IFERROR(INDEX([8]Orçamento!$C$2:$ZZ$2,1,MATCH(BK$1,[8]Orçamento!$C$1:$ZZ$1,0)),0)</f>
        <v>559496.56249999988</v>
      </c>
      <c r="BL2" s="7">
        <f>IFERROR(INDEX([1]Orçamento!$C$2:$ZZ$2,1,MATCH(BL$1,[1]Orçamento!$C$1:$ZZ$1,0)),0) + IFERROR(INDEX([2]Orçamento!$C$2:$ZZ$2,1,MATCH(BL$1,[2]Orçamento!$C$1:$ZZ$1,0)),0) + IFERROR(INDEX([3]Orçamento!$C$2:$ZZ$2,1,MATCH(BL$1,[3]Orçamento!$C$1:$ZZ$1,0)),0) + IFERROR(INDEX([4]Orçamento!$C$2:$ZZ$2,1,MATCH(BL$1,[4]Orçamento!$C$1:$ZZ$1,0)),0) + IFERROR(INDEX([5]Orçamento!$C$2:$ZZ$2,1,MATCH(BL$1,[5]Orçamento!$C$1:$ZZ$1,0)),0) + IFERROR(INDEX([6]Orçamento!$C$2:$ZZ$2,1,MATCH(BL$1,[6]Orçamento!$C$1:$ZZ$1,0)),0) + IFERROR(INDEX([7]Orçamento!$C$2:$ZZ$2,1,MATCH(BL$1,[7]Orçamento!$C$1:$ZZ$1,0)),0) + IFERROR(INDEX([8]Orçamento!$C$2:$ZZ$2,1,MATCH(BL$1,[8]Orçamento!$C$1:$ZZ$1,0)),0)</f>
        <v>561950.37499999988</v>
      </c>
      <c r="BM2" s="7">
        <f>IFERROR(INDEX([1]Orçamento!$C$2:$ZZ$2,1,MATCH(BM$1,[1]Orçamento!$C$1:$ZZ$1,0)),0) + IFERROR(INDEX([2]Orçamento!$C$2:$ZZ$2,1,MATCH(BM$1,[2]Orçamento!$C$1:$ZZ$1,0)),0) + IFERROR(INDEX([3]Orçamento!$C$2:$ZZ$2,1,MATCH(BM$1,[3]Orçamento!$C$1:$ZZ$1,0)),0) + IFERROR(INDEX([4]Orçamento!$C$2:$ZZ$2,1,MATCH(BM$1,[4]Orçamento!$C$1:$ZZ$1,0)),0) + IFERROR(INDEX([5]Orçamento!$C$2:$ZZ$2,1,MATCH(BM$1,[5]Orçamento!$C$1:$ZZ$1,0)),0) + IFERROR(INDEX([6]Orçamento!$C$2:$ZZ$2,1,MATCH(BM$1,[6]Orçamento!$C$1:$ZZ$1,0)),0) + IFERROR(INDEX([7]Orçamento!$C$2:$ZZ$2,1,MATCH(BM$1,[7]Orçamento!$C$1:$ZZ$1,0)),0) + IFERROR(INDEX([8]Orçamento!$C$2:$ZZ$2,1,MATCH(BM$1,[8]Orçamento!$C$1:$ZZ$1,0)),0)</f>
        <v>495040.49999999994</v>
      </c>
      <c r="BN2" s="7">
        <f>IFERROR(INDEX([1]Orçamento!$C$2:$ZZ$2,1,MATCH(BN$1,[1]Orçamento!$C$1:$ZZ$1,0)),0) + IFERROR(INDEX([2]Orçamento!$C$2:$ZZ$2,1,MATCH(BN$1,[2]Orçamento!$C$1:$ZZ$1,0)),0) + IFERROR(INDEX([3]Orçamento!$C$2:$ZZ$2,1,MATCH(BN$1,[3]Orçamento!$C$1:$ZZ$1,0)),0) + IFERROR(INDEX([4]Orçamento!$C$2:$ZZ$2,1,MATCH(BN$1,[4]Orçamento!$C$1:$ZZ$1,0)),0) + IFERROR(INDEX([5]Orçamento!$C$2:$ZZ$2,1,MATCH(BN$1,[5]Orçamento!$C$1:$ZZ$1,0)),0) + IFERROR(INDEX([6]Orçamento!$C$2:$ZZ$2,1,MATCH(BN$1,[6]Orçamento!$C$1:$ZZ$1,0)),0) + IFERROR(INDEX([7]Orçamento!$C$2:$ZZ$2,1,MATCH(BN$1,[7]Orçamento!$C$1:$ZZ$1,0)),0) + IFERROR(INDEX([8]Orçamento!$C$2:$ZZ$2,1,MATCH(BN$1,[8]Orçamento!$C$1:$ZZ$1,0)),0)</f>
        <v>583475.49999999988</v>
      </c>
      <c r="BO2" s="7">
        <f>IFERROR(INDEX([1]Orçamento!$C$2:$ZZ$2,1,MATCH(BO$1,[1]Orçamento!$C$1:$ZZ$1,0)),0) + IFERROR(INDEX([2]Orçamento!$C$2:$ZZ$2,1,MATCH(BO$1,[2]Orçamento!$C$1:$ZZ$1,0)),0) + IFERROR(INDEX([3]Orçamento!$C$2:$ZZ$2,1,MATCH(BO$1,[3]Orçamento!$C$1:$ZZ$1,0)),0) + IFERROR(INDEX([4]Orçamento!$C$2:$ZZ$2,1,MATCH(BO$1,[4]Orçamento!$C$1:$ZZ$1,0)),0) + IFERROR(INDEX([5]Orçamento!$C$2:$ZZ$2,1,MATCH(BO$1,[5]Orçamento!$C$1:$ZZ$1,0)),0) + IFERROR(INDEX([6]Orçamento!$C$2:$ZZ$2,1,MATCH(BO$1,[6]Orçamento!$C$1:$ZZ$1,0)),0) + IFERROR(INDEX([7]Orçamento!$C$2:$ZZ$2,1,MATCH(BO$1,[7]Orçamento!$C$1:$ZZ$1,0)),0) + IFERROR(INDEX([8]Orçamento!$C$2:$ZZ$2,1,MATCH(BO$1,[8]Orçamento!$C$1:$ZZ$1,0)),0)</f>
        <v>583475.49999999988</v>
      </c>
      <c r="BP2" s="7">
        <f>IFERROR(INDEX([1]Orçamento!$C$2:$ZZ$2,1,MATCH(BP$1,[1]Orçamento!$C$1:$ZZ$1,0)),0) + IFERROR(INDEX([2]Orçamento!$C$2:$ZZ$2,1,MATCH(BP$1,[2]Orçamento!$C$1:$ZZ$1,0)),0) + IFERROR(INDEX([3]Orçamento!$C$2:$ZZ$2,1,MATCH(BP$1,[3]Orçamento!$C$1:$ZZ$1,0)),0) + IFERROR(INDEX([4]Orçamento!$C$2:$ZZ$2,1,MATCH(BP$1,[4]Orçamento!$C$1:$ZZ$1,0)),0) + IFERROR(INDEX([5]Orçamento!$C$2:$ZZ$2,1,MATCH(BP$1,[5]Orçamento!$C$1:$ZZ$1,0)),0) + IFERROR(INDEX([6]Orçamento!$C$2:$ZZ$2,1,MATCH(BP$1,[6]Orçamento!$C$1:$ZZ$1,0)),0) + IFERROR(INDEX([7]Orçamento!$C$2:$ZZ$2,1,MATCH(BP$1,[7]Orçamento!$C$1:$ZZ$1,0)),0) + IFERROR(INDEX([8]Orçamento!$C$2:$ZZ$2,1,MATCH(BP$1,[8]Orçamento!$C$1:$ZZ$1,0)),0)</f>
        <v>583475.49999999988</v>
      </c>
      <c r="BQ2" s="7">
        <f>IFERROR(INDEX([1]Orçamento!$C$2:$ZZ$2,1,MATCH(BQ$1,[1]Orçamento!$C$1:$ZZ$1,0)),0) + IFERROR(INDEX([2]Orçamento!$C$2:$ZZ$2,1,MATCH(BQ$1,[2]Orçamento!$C$1:$ZZ$1,0)),0) + IFERROR(INDEX([3]Orçamento!$C$2:$ZZ$2,1,MATCH(BQ$1,[3]Orçamento!$C$1:$ZZ$1,0)),0) + IFERROR(INDEX([4]Orçamento!$C$2:$ZZ$2,1,MATCH(BQ$1,[4]Orçamento!$C$1:$ZZ$1,0)),0) + IFERROR(INDEX([5]Orçamento!$C$2:$ZZ$2,1,MATCH(BQ$1,[5]Orçamento!$C$1:$ZZ$1,0)),0) + IFERROR(INDEX([6]Orçamento!$C$2:$ZZ$2,1,MATCH(BQ$1,[6]Orçamento!$C$1:$ZZ$1,0)),0) + IFERROR(INDEX([7]Orçamento!$C$2:$ZZ$2,1,MATCH(BQ$1,[7]Orçamento!$C$1:$ZZ$1,0)),0) + IFERROR(INDEX([8]Orçamento!$C$2:$ZZ$2,1,MATCH(BQ$1,[8]Orçamento!$C$1:$ZZ$1,0)),0)</f>
        <v>583475.49999999988</v>
      </c>
      <c r="BR2" s="7">
        <f>IFERROR(INDEX([1]Orçamento!$C$2:$ZZ$2,1,MATCH(BR$1,[1]Orçamento!$C$1:$ZZ$1,0)),0) + IFERROR(INDEX([2]Orçamento!$C$2:$ZZ$2,1,MATCH(BR$1,[2]Orçamento!$C$1:$ZZ$1,0)),0) + IFERROR(INDEX([3]Orçamento!$C$2:$ZZ$2,1,MATCH(BR$1,[3]Orçamento!$C$1:$ZZ$1,0)),0) + IFERROR(INDEX([4]Orçamento!$C$2:$ZZ$2,1,MATCH(BR$1,[4]Orçamento!$C$1:$ZZ$1,0)),0) + IFERROR(INDEX([5]Orçamento!$C$2:$ZZ$2,1,MATCH(BR$1,[5]Orçamento!$C$1:$ZZ$1,0)),0) + IFERROR(INDEX([6]Orçamento!$C$2:$ZZ$2,1,MATCH(BR$1,[6]Orçamento!$C$1:$ZZ$1,0)),0) + IFERROR(INDEX([7]Orçamento!$C$2:$ZZ$2,1,MATCH(BR$1,[7]Orçamento!$C$1:$ZZ$1,0)),0) + IFERROR(INDEX([8]Orçamento!$C$2:$ZZ$2,1,MATCH(BR$1,[8]Orçamento!$C$1:$ZZ$1,0)),0)</f>
        <v>583475.49999999988</v>
      </c>
      <c r="BS2" s="7">
        <f>IFERROR(INDEX([1]Orçamento!$C$2:$ZZ$2,1,MATCH(BS$1,[1]Orçamento!$C$1:$ZZ$1,0)),0) + IFERROR(INDEX([2]Orçamento!$C$2:$ZZ$2,1,MATCH(BS$1,[2]Orçamento!$C$1:$ZZ$1,0)),0) + IFERROR(INDEX([3]Orçamento!$C$2:$ZZ$2,1,MATCH(BS$1,[3]Orçamento!$C$1:$ZZ$1,0)),0) + IFERROR(INDEX([4]Orçamento!$C$2:$ZZ$2,1,MATCH(BS$1,[4]Orçamento!$C$1:$ZZ$1,0)),0) + IFERROR(INDEX([5]Orçamento!$C$2:$ZZ$2,1,MATCH(BS$1,[5]Orçamento!$C$1:$ZZ$1,0)),0) + IFERROR(INDEX([6]Orçamento!$C$2:$ZZ$2,1,MATCH(BS$1,[6]Orçamento!$C$1:$ZZ$1,0)),0) + IFERROR(INDEX([7]Orçamento!$C$2:$ZZ$2,1,MATCH(BS$1,[7]Orçamento!$C$1:$ZZ$1,0)),0) + IFERROR(INDEX([8]Orçamento!$C$2:$ZZ$2,1,MATCH(BS$1,[8]Orçamento!$C$1:$ZZ$1,0)),0)</f>
        <v>583475.49999999988</v>
      </c>
      <c r="BT2" s="13">
        <f>SUM(BG2:BS2)</f>
        <v>14448680.5</v>
      </c>
      <c r="BU2" s="7">
        <f>IFERROR(INDEX([1]Orçamento!$C$2:$ZZ$2,1,MATCH(BU$1,[1]Orçamento!$C$1:$ZZ$1,0)),0) + IFERROR(INDEX([2]Orçamento!$C$2:$ZZ$2,1,MATCH(BU$1,[2]Orçamento!$C$1:$ZZ$1,0)),0) + IFERROR(INDEX([3]Orçamento!$C$2:$ZZ$2,1,MATCH(BU$1,[3]Orçamento!$C$1:$ZZ$1,0)),0) + IFERROR(INDEX([4]Orçamento!$C$2:$ZZ$2,1,MATCH(BU$1,[4]Orçamento!$C$1:$ZZ$1,0)),0) + IFERROR(INDEX([5]Orçamento!$C$2:$ZZ$2,1,MATCH(BU$1,[5]Orçamento!$C$1:$ZZ$1,0)),0) + IFERROR(INDEX([6]Orçamento!$C$2:$ZZ$2,1,MATCH(BU$1,[6]Orçamento!$C$1:$ZZ$1,0)),0) + IFERROR(INDEX([7]Orçamento!$C$2:$ZZ$2,1,MATCH(BU$1,[7]Orçamento!$C$1:$ZZ$1,0)),0) + IFERROR(INDEX([8]Orçamento!$C$2:$ZZ$2,1,MATCH(BU$1,[8]Orçamento!$C$1:$ZZ$1,0)),0)</f>
        <v>795915</v>
      </c>
      <c r="BV2" s="7">
        <f>IFERROR(INDEX([1]Orçamento!$C$2:$ZZ$2,1,MATCH(BV$1,[1]Orçamento!$C$1:$ZZ$1,0)),0) + IFERROR(INDEX([2]Orçamento!$C$2:$ZZ$2,1,MATCH(BV$1,[2]Orçamento!$C$1:$ZZ$1,0)),0) + IFERROR(INDEX([3]Orçamento!$C$2:$ZZ$2,1,MATCH(BV$1,[3]Orçamento!$C$1:$ZZ$1,0)),0) + IFERROR(INDEX([4]Orçamento!$C$2:$ZZ$2,1,MATCH(BV$1,[4]Orçamento!$C$1:$ZZ$1,0)),0) + IFERROR(INDEX([5]Orçamento!$C$2:$ZZ$2,1,MATCH(BV$1,[5]Orçamento!$C$1:$ZZ$1,0)),0) + IFERROR(INDEX([6]Orçamento!$C$2:$ZZ$2,1,MATCH(BV$1,[6]Orçamento!$C$1:$ZZ$1,0)),0) + IFERROR(INDEX([7]Orçamento!$C$2:$ZZ$2,1,MATCH(BV$1,[7]Orçamento!$C$1:$ZZ$1,0)),0) + IFERROR(INDEX([8]Orçamento!$C$2:$ZZ$2,1,MATCH(BV$1,[8]Orçamento!$C$1:$ZZ$1,0)),0)</f>
        <v>795915</v>
      </c>
      <c r="BW2" s="7">
        <f>IFERROR(INDEX([1]Orçamento!$C$2:$ZZ$2,1,MATCH(BW$1,[1]Orçamento!$C$1:$ZZ$1,0)),0) + IFERROR(INDEX([2]Orçamento!$C$2:$ZZ$2,1,MATCH(BW$1,[2]Orçamento!$C$1:$ZZ$1,0)),0) + IFERROR(INDEX([3]Orçamento!$C$2:$ZZ$2,1,MATCH(BW$1,[3]Orçamento!$C$1:$ZZ$1,0)),0) + IFERROR(INDEX([4]Orçamento!$C$2:$ZZ$2,1,MATCH(BW$1,[4]Orçamento!$C$1:$ZZ$1,0)),0) + IFERROR(INDEX([5]Orçamento!$C$2:$ZZ$2,1,MATCH(BW$1,[5]Orçamento!$C$1:$ZZ$1,0)),0) + IFERROR(INDEX([6]Orçamento!$C$2:$ZZ$2,1,MATCH(BW$1,[6]Orçamento!$C$1:$ZZ$1,0)),0) + IFERROR(INDEX([7]Orçamento!$C$2:$ZZ$2,1,MATCH(BW$1,[7]Orçamento!$C$1:$ZZ$1,0)),0) + IFERROR(INDEX([8]Orçamento!$C$2:$ZZ$2,1,MATCH(BW$1,[8]Orçamento!$C$1:$ZZ$1,0)),0)</f>
        <v>795915</v>
      </c>
      <c r="BX2" s="7">
        <f>IFERROR(INDEX([1]Orçamento!$C$2:$ZZ$2,1,MATCH(BX$1,[1]Orçamento!$C$1:$ZZ$1,0)),0) + IFERROR(INDEX([2]Orçamento!$C$2:$ZZ$2,1,MATCH(BX$1,[2]Orçamento!$C$1:$ZZ$1,0)),0) + IFERROR(INDEX([3]Orçamento!$C$2:$ZZ$2,1,MATCH(BX$1,[3]Orçamento!$C$1:$ZZ$1,0)),0) + IFERROR(INDEX([4]Orçamento!$C$2:$ZZ$2,1,MATCH(BX$1,[4]Orçamento!$C$1:$ZZ$1,0)),0) + IFERROR(INDEX([5]Orçamento!$C$2:$ZZ$2,1,MATCH(BX$1,[5]Orçamento!$C$1:$ZZ$1,0)),0) + IFERROR(INDEX([6]Orçamento!$C$2:$ZZ$2,1,MATCH(BX$1,[6]Orçamento!$C$1:$ZZ$1,0)),0) + IFERROR(INDEX([7]Orçamento!$C$2:$ZZ$2,1,MATCH(BX$1,[7]Orçamento!$C$1:$ZZ$1,0)),0) + IFERROR(INDEX([8]Orçamento!$C$2:$ZZ$2,1,MATCH(BX$1,[8]Orçamento!$C$1:$ZZ$1,0)),0)</f>
        <v>795915</v>
      </c>
      <c r="BY2" s="7">
        <f>IFERROR(INDEX([1]Orçamento!$C$2:$ZZ$2,1,MATCH(BY$1,[1]Orçamento!$C$1:$ZZ$1,0)),0) + IFERROR(INDEX([2]Orçamento!$C$2:$ZZ$2,1,MATCH(BY$1,[2]Orçamento!$C$1:$ZZ$1,0)),0) + IFERROR(INDEX([3]Orçamento!$C$2:$ZZ$2,1,MATCH(BY$1,[3]Orçamento!$C$1:$ZZ$1,0)),0) + IFERROR(INDEX([4]Orçamento!$C$2:$ZZ$2,1,MATCH(BY$1,[4]Orçamento!$C$1:$ZZ$1,0)),0) + IFERROR(INDEX([5]Orçamento!$C$2:$ZZ$2,1,MATCH(BY$1,[5]Orçamento!$C$1:$ZZ$1,0)),0) + IFERROR(INDEX([6]Orçamento!$C$2:$ZZ$2,1,MATCH(BY$1,[6]Orçamento!$C$1:$ZZ$1,0)),0) + IFERROR(INDEX([7]Orçamento!$C$2:$ZZ$2,1,MATCH(BY$1,[7]Orçamento!$C$1:$ZZ$1,0)),0) + IFERROR(INDEX([8]Orçamento!$C$2:$ZZ$2,1,MATCH(BY$1,[8]Orçamento!$C$1:$ZZ$1,0)),0)</f>
        <v>795915</v>
      </c>
      <c r="BZ2" s="7">
        <f>IFERROR(INDEX([1]Orçamento!$C$2:$ZZ$2,1,MATCH(BZ$1,[1]Orçamento!$C$1:$ZZ$1,0)),0) + IFERROR(INDEX([2]Orçamento!$C$2:$ZZ$2,1,MATCH(BZ$1,[2]Orçamento!$C$1:$ZZ$1,0)),0) + IFERROR(INDEX([3]Orçamento!$C$2:$ZZ$2,1,MATCH(BZ$1,[3]Orçamento!$C$1:$ZZ$1,0)),0) + IFERROR(INDEX([4]Orçamento!$C$2:$ZZ$2,1,MATCH(BZ$1,[4]Orçamento!$C$1:$ZZ$1,0)),0) + IFERROR(INDEX([5]Orçamento!$C$2:$ZZ$2,1,MATCH(BZ$1,[5]Orçamento!$C$1:$ZZ$1,0)),0) + IFERROR(INDEX([6]Orçamento!$C$2:$ZZ$2,1,MATCH(BZ$1,[6]Orçamento!$C$1:$ZZ$1,0)),0) + IFERROR(INDEX([7]Orçamento!$C$2:$ZZ$2,1,MATCH(BZ$1,[7]Orçamento!$C$1:$ZZ$1,0)),0) + IFERROR(INDEX([8]Orçamento!$C$2:$ZZ$2,1,MATCH(BZ$1,[8]Orçamento!$C$1:$ZZ$1,0)),0)</f>
        <v>795915</v>
      </c>
      <c r="CA2" s="7">
        <f>IFERROR(INDEX([1]Orçamento!$C$2:$ZZ$2,1,MATCH(CA$1,[1]Orçamento!$C$1:$ZZ$1,0)),0) + IFERROR(INDEX([2]Orçamento!$C$2:$ZZ$2,1,MATCH(CA$1,[2]Orçamento!$C$1:$ZZ$1,0)),0) + IFERROR(INDEX([3]Orçamento!$C$2:$ZZ$2,1,MATCH(CA$1,[3]Orçamento!$C$1:$ZZ$1,0)),0) + IFERROR(INDEX([4]Orçamento!$C$2:$ZZ$2,1,MATCH(CA$1,[4]Orçamento!$C$1:$ZZ$1,0)),0) + IFERROR(INDEX([5]Orçamento!$C$2:$ZZ$2,1,MATCH(CA$1,[5]Orçamento!$C$1:$ZZ$1,0)),0) + IFERROR(INDEX([6]Orçamento!$C$2:$ZZ$2,1,MATCH(CA$1,[6]Orçamento!$C$1:$ZZ$1,0)),0) + IFERROR(INDEX([7]Orçamento!$C$2:$ZZ$2,1,MATCH(CA$1,[7]Orçamento!$C$1:$ZZ$1,0)),0) + IFERROR(INDEX([8]Orçamento!$C$2:$ZZ$2,1,MATCH(CA$1,[8]Orçamento!$C$1:$ZZ$1,0)),0)</f>
        <v>795915</v>
      </c>
      <c r="CB2" s="7">
        <f>IFERROR(INDEX([1]Orçamento!$C$2:$ZZ$2,1,MATCH(CB$1,[1]Orçamento!$C$1:$ZZ$1,0)),0) + IFERROR(INDEX([2]Orçamento!$C$2:$ZZ$2,1,MATCH(CB$1,[2]Orçamento!$C$1:$ZZ$1,0)),0) + IFERROR(INDEX([3]Orçamento!$C$2:$ZZ$2,1,MATCH(CB$1,[3]Orçamento!$C$1:$ZZ$1,0)),0) + IFERROR(INDEX([4]Orçamento!$C$2:$ZZ$2,1,MATCH(CB$1,[4]Orçamento!$C$1:$ZZ$1,0)),0) + IFERROR(INDEX([5]Orçamento!$C$2:$ZZ$2,1,MATCH(CB$1,[5]Orçamento!$C$1:$ZZ$1,0)),0) + IFERROR(INDEX([6]Orçamento!$C$2:$ZZ$2,1,MATCH(CB$1,[6]Orçamento!$C$1:$ZZ$1,0)),0) + IFERROR(INDEX([7]Orçamento!$C$2:$ZZ$2,1,MATCH(CB$1,[7]Orçamento!$C$1:$ZZ$1,0)),0) + IFERROR(INDEX([8]Orçamento!$C$2:$ZZ$2,1,MATCH(CB$1,[8]Orçamento!$C$1:$ZZ$1,0)),0)</f>
        <v>795915</v>
      </c>
      <c r="CC2" s="7">
        <f>IFERROR(INDEX([1]Orçamento!$C$2:$ZZ$2,1,MATCH(CC$1,[1]Orçamento!$C$1:$ZZ$1,0)),0) + IFERROR(INDEX([2]Orçamento!$C$2:$ZZ$2,1,MATCH(CC$1,[2]Orçamento!$C$1:$ZZ$1,0)),0) + IFERROR(INDEX([3]Orçamento!$C$2:$ZZ$2,1,MATCH(CC$1,[3]Orçamento!$C$1:$ZZ$1,0)),0) + IFERROR(INDEX([4]Orçamento!$C$2:$ZZ$2,1,MATCH(CC$1,[4]Orçamento!$C$1:$ZZ$1,0)),0) + IFERROR(INDEX([5]Orçamento!$C$2:$ZZ$2,1,MATCH(CC$1,[5]Orçamento!$C$1:$ZZ$1,0)),0) + IFERROR(INDEX([6]Orçamento!$C$2:$ZZ$2,1,MATCH(CC$1,[6]Orçamento!$C$1:$ZZ$1,0)),0) + IFERROR(INDEX([7]Orçamento!$C$2:$ZZ$2,1,MATCH(CC$1,[7]Orçamento!$C$1:$ZZ$1,0)),0) + IFERROR(INDEX([8]Orçamento!$C$2:$ZZ$2,1,MATCH(CC$1,[8]Orçamento!$C$1:$ZZ$1,0)),0)</f>
        <v>795915</v>
      </c>
      <c r="CD2" s="7">
        <f>IFERROR(INDEX([1]Orçamento!$C$2:$ZZ$2,1,MATCH(CD$1,[1]Orçamento!$C$1:$ZZ$1,0)),0) + IFERROR(INDEX([2]Orçamento!$C$2:$ZZ$2,1,MATCH(CD$1,[2]Orçamento!$C$1:$ZZ$1,0)),0) + IFERROR(INDEX([3]Orçamento!$C$2:$ZZ$2,1,MATCH(CD$1,[3]Orçamento!$C$1:$ZZ$1,0)),0) + IFERROR(INDEX([4]Orçamento!$C$2:$ZZ$2,1,MATCH(CD$1,[4]Orçamento!$C$1:$ZZ$1,0)),0) + IFERROR(INDEX([5]Orçamento!$C$2:$ZZ$2,1,MATCH(CD$1,[5]Orçamento!$C$1:$ZZ$1,0)),0) + IFERROR(INDEX([6]Orçamento!$C$2:$ZZ$2,1,MATCH(CD$1,[6]Orçamento!$C$1:$ZZ$1,0)),0) + IFERROR(INDEX([7]Orçamento!$C$2:$ZZ$2,1,MATCH(CD$1,[7]Orçamento!$C$1:$ZZ$1,0)),0) + IFERROR(INDEX([8]Orçamento!$C$2:$ZZ$2,1,MATCH(CD$1,[8]Orçamento!$C$1:$ZZ$1,0)),0)</f>
        <v>795915</v>
      </c>
      <c r="CE2" s="7">
        <f>IFERROR(INDEX([1]Orçamento!$C$2:$ZZ$2,1,MATCH(CE$1,[1]Orçamento!$C$1:$ZZ$1,0)),0) + IFERROR(INDEX([2]Orçamento!$C$2:$ZZ$2,1,MATCH(CE$1,[2]Orçamento!$C$1:$ZZ$1,0)),0) + IFERROR(INDEX([3]Orçamento!$C$2:$ZZ$2,1,MATCH(CE$1,[3]Orçamento!$C$1:$ZZ$1,0)),0) + IFERROR(INDEX([4]Orçamento!$C$2:$ZZ$2,1,MATCH(CE$1,[4]Orçamento!$C$1:$ZZ$1,0)),0) + IFERROR(INDEX([5]Orçamento!$C$2:$ZZ$2,1,MATCH(CE$1,[5]Orçamento!$C$1:$ZZ$1,0)),0) + IFERROR(INDEX([6]Orçamento!$C$2:$ZZ$2,1,MATCH(CE$1,[6]Orçamento!$C$1:$ZZ$1,0)),0) + IFERROR(INDEX([7]Orçamento!$C$2:$ZZ$2,1,MATCH(CE$1,[7]Orçamento!$C$1:$ZZ$1,0)),0) + IFERROR(INDEX([8]Orçamento!$C$2:$ZZ$2,1,MATCH(CE$1,[8]Orçamento!$C$1:$ZZ$1,0)),0)</f>
        <v>795915</v>
      </c>
      <c r="CF2" s="7">
        <f>IFERROR(INDEX([1]Orçamento!$C$2:$ZZ$2,1,MATCH(CF$1,[1]Orçamento!$C$1:$ZZ$1,0)),0) + IFERROR(INDEX([2]Orçamento!$C$2:$ZZ$2,1,MATCH(CF$1,[2]Orçamento!$C$1:$ZZ$1,0)),0) + IFERROR(INDEX([3]Orçamento!$C$2:$ZZ$2,1,MATCH(CF$1,[3]Orçamento!$C$1:$ZZ$1,0)),0) + IFERROR(INDEX([4]Orçamento!$C$2:$ZZ$2,1,MATCH(CF$1,[4]Orçamento!$C$1:$ZZ$1,0)),0) + IFERROR(INDEX([5]Orçamento!$C$2:$ZZ$2,1,MATCH(CF$1,[5]Orçamento!$C$1:$ZZ$1,0)),0) + IFERROR(INDEX([6]Orçamento!$C$2:$ZZ$2,1,MATCH(CF$1,[6]Orçamento!$C$1:$ZZ$1,0)),0) + IFERROR(INDEX([7]Orçamento!$C$2:$ZZ$2,1,MATCH(CF$1,[7]Orçamento!$C$1:$ZZ$1,0)),0) + IFERROR(INDEX([8]Orçamento!$C$2:$ZZ$2,1,MATCH(CF$1,[8]Orçamento!$C$1:$ZZ$1,0)),0)</f>
        <v>795915</v>
      </c>
      <c r="CG2" s="13">
        <f>SUM(BT2:CF2)</f>
        <v>23999660.5</v>
      </c>
      <c r="CH2" s="7">
        <f>IFERROR(INDEX([1]Orçamento!$C$2:$ZZ$2,1,MATCH(CH$1,[1]Orçamento!$C$1:$ZZ$1,0)),0) + IFERROR(INDEX([2]Orçamento!$C$2:$ZZ$2,1,MATCH(CH$1,[2]Orçamento!$C$1:$ZZ$1,0)),0) + IFERROR(INDEX([3]Orçamento!$C$2:$ZZ$2,1,MATCH(CH$1,[3]Orçamento!$C$1:$ZZ$1,0)),0) + IFERROR(INDEX([4]Orçamento!$C$2:$ZZ$2,1,MATCH(CH$1,[4]Orçamento!$C$1:$ZZ$1,0)),0) + IFERROR(INDEX([5]Orçamento!$C$2:$ZZ$2,1,MATCH(CH$1,[5]Orçamento!$C$1:$ZZ$1,0)),0) + IFERROR(INDEX([6]Orçamento!$C$2:$ZZ$2,1,MATCH(CH$1,[6]Orçamento!$C$1:$ZZ$1,0)),0) + IFERROR(INDEX([7]Orçamento!$C$2:$ZZ$2,1,MATCH(CH$1,[7]Orçamento!$C$1:$ZZ$1,0)),0) + IFERROR(INDEX([8]Orçamento!$C$2:$ZZ$2,1,MATCH(CH$1,[8]Orçamento!$C$1:$ZZ$1,0)),0)</f>
        <v>972784.99999999988</v>
      </c>
      <c r="CI2" s="7">
        <f>IFERROR(INDEX([1]Orçamento!$C$2:$ZZ$2,1,MATCH(CI$1,[1]Orçamento!$C$1:$ZZ$1,0)),0) + IFERROR(INDEX([2]Orçamento!$C$2:$ZZ$2,1,MATCH(CI$1,[2]Orçamento!$C$1:$ZZ$1,0)),0) + IFERROR(INDEX([3]Orçamento!$C$2:$ZZ$2,1,MATCH(CI$1,[3]Orçamento!$C$1:$ZZ$1,0)),0) + IFERROR(INDEX([4]Orçamento!$C$2:$ZZ$2,1,MATCH(CI$1,[4]Orçamento!$C$1:$ZZ$1,0)),0) + IFERROR(INDEX([5]Orçamento!$C$2:$ZZ$2,1,MATCH(CI$1,[5]Orçamento!$C$1:$ZZ$1,0)),0) + IFERROR(INDEX([6]Orçamento!$C$2:$ZZ$2,1,MATCH(CI$1,[6]Orçamento!$C$1:$ZZ$1,0)),0) + IFERROR(INDEX([7]Orçamento!$C$2:$ZZ$2,1,MATCH(CI$1,[7]Orçamento!$C$1:$ZZ$1,0)),0) + IFERROR(INDEX([8]Orçamento!$C$2:$ZZ$2,1,MATCH(CI$1,[8]Orçamento!$C$1:$ZZ$1,0)),0)</f>
        <v>972784.99999999988</v>
      </c>
      <c r="CJ2" s="7">
        <f>IFERROR(INDEX([1]Orçamento!$C$2:$ZZ$2,1,MATCH(CJ$1,[1]Orçamento!$C$1:$ZZ$1,0)),0) + IFERROR(INDEX([2]Orçamento!$C$2:$ZZ$2,1,MATCH(CJ$1,[2]Orçamento!$C$1:$ZZ$1,0)),0) + IFERROR(INDEX([3]Orçamento!$C$2:$ZZ$2,1,MATCH(CJ$1,[3]Orçamento!$C$1:$ZZ$1,0)),0) + IFERROR(INDEX([4]Orçamento!$C$2:$ZZ$2,1,MATCH(CJ$1,[4]Orçamento!$C$1:$ZZ$1,0)),0) + IFERROR(INDEX([5]Orçamento!$C$2:$ZZ$2,1,MATCH(CJ$1,[5]Orçamento!$C$1:$ZZ$1,0)),0) + IFERROR(INDEX([6]Orçamento!$C$2:$ZZ$2,1,MATCH(CJ$1,[6]Orçamento!$C$1:$ZZ$1,0)),0) + IFERROR(INDEX([7]Orçamento!$C$2:$ZZ$2,1,MATCH(CJ$1,[7]Orçamento!$C$1:$ZZ$1,0)),0) + IFERROR(INDEX([8]Orçamento!$C$2:$ZZ$2,1,MATCH(CJ$1,[8]Orçamento!$C$1:$ZZ$1,0)),0)</f>
        <v>972784.99999999988</v>
      </c>
      <c r="CK2" s="7">
        <f>IFERROR(INDEX([1]Orçamento!$C$2:$ZZ$2,1,MATCH(CK$1,[1]Orçamento!$C$1:$ZZ$1,0)),0) + IFERROR(INDEX([2]Orçamento!$C$2:$ZZ$2,1,MATCH(CK$1,[2]Orçamento!$C$1:$ZZ$1,0)),0) + IFERROR(INDEX([3]Orçamento!$C$2:$ZZ$2,1,MATCH(CK$1,[3]Orçamento!$C$1:$ZZ$1,0)),0) + IFERROR(INDEX([4]Orçamento!$C$2:$ZZ$2,1,MATCH(CK$1,[4]Orçamento!$C$1:$ZZ$1,0)),0) + IFERROR(INDEX([5]Orçamento!$C$2:$ZZ$2,1,MATCH(CK$1,[5]Orçamento!$C$1:$ZZ$1,0)),0) + IFERROR(INDEX([6]Orçamento!$C$2:$ZZ$2,1,MATCH(CK$1,[6]Orçamento!$C$1:$ZZ$1,0)),0) + IFERROR(INDEX([7]Orçamento!$C$2:$ZZ$2,1,MATCH(CK$1,[7]Orçamento!$C$1:$ZZ$1,0)),0) + IFERROR(INDEX([8]Orçamento!$C$2:$ZZ$2,1,MATCH(CK$1,[8]Orçamento!$C$1:$ZZ$1,0)),0)</f>
        <v>972784.99999999988</v>
      </c>
      <c r="CL2" s="7">
        <f>IFERROR(INDEX([1]Orçamento!$C$2:$ZZ$2,1,MATCH(CL$1,[1]Orçamento!$C$1:$ZZ$1,0)),0) + IFERROR(INDEX([2]Orçamento!$C$2:$ZZ$2,1,MATCH(CL$1,[2]Orçamento!$C$1:$ZZ$1,0)),0) + IFERROR(INDEX([3]Orçamento!$C$2:$ZZ$2,1,MATCH(CL$1,[3]Orçamento!$C$1:$ZZ$1,0)),0) + IFERROR(INDEX([4]Orçamento!$C$2:$ZZ$2,1,MATCH(CL$1,[4]Orçamento!$C$1:$ZZ$1,0)),0) + IFERROR(INDEX([5]Orçamento!$C$2:$ZZ$2,1,MATCH(CL$1,[5]Orçamento!$C$1:$ZZ$1,0)),0) + IFERROR(INDEX([6]Orçamento!$C$2:$ZZ$2,1,MATCH(CL$1,[6]Orçamento!$C$1:$ZZ$1,0)),0) + IFERROR(INDEX([7]Orçamento!$C$2:$ZZ$2,1,MATCH(CL$1,[7]Orçamento!$C$1:$ZZ$1,0)),0) + IFERROR(INDEX([8]Orçamento!$C$2:$ZZ$2,1,MATCH(CL$1,[8]Orçamento!$C$1:$ZZ$1,0)),0)</f>
        <v>972784.99999999988</v>
      </c>
      <c r="CM2" s="7">
        <f>IFERROR(INDEX([1]Orçamento!$C$2:$ZZ$2,1,MATCH(CM$1,[1]Orçamento!$C$1:$ZZ$1,0)),0) + IFERROR(INDEX([2]Orçamento!$C$2:$ZZ$2,1,MATCH(CM$1,[2]Orçamento!$C$1:$ZZ$1,0)),0) + IFERROR(INDEX([3]Orçamento!$C$2:$ZZ$2,1,MATCH(CM$1,[3]Orçamento!$C$1:$ZZ$1,0)),0) + IFERROR(INDEX([4]Orçamento!$C$2:$ZZ$2,1,MATCH(CM$1,[4]Orçamento!$C$1:$ZZ$1,0)),0) + IFERROR(INDEX([5]Orçamento!$C$2:$ZZ$2,1,MATCH(CM$1,[5]Orçamento!$C$1:$ZZ$1,0)),0) + IFERROR(INDEX([6]Orçamento!$C$2:$ZZ$2,1,MATCH(CM$1,[6]Orçamento!$C$1:$ZZ$1,0)),0) + IFERROR(INDEX([7]Orçamento!$C$2:$ZZ$2,1,MATCH(CM$1,[7]Orçamento!$C$1:$ZZ$1,0)),0) + IFERROR(INDEX([8]Orçamento!$C$2:$ZZ$2,1,MATCH(CM$1,[8]Orçamento!$C$1:$ZZ$1,0)),0)</f>
        <v>928567.49999999988</v>
      </c>
      <c r="CN2" s="7">
        <f>IFERROR(INDEX([1]Orçamento!$C$2:$ZZ$2,1,MATCH(CN$1,[1]Orçamento!$C$1:$ZZ$1,0)),0) + IFERROR(INDEX([2]Orçamento!$C$2:$ZZ$2,1,MATCH(CN$1,[2]Orçamento!$C$1:$ZZ$1,0)),0) + IFERROR(INDEX([3]Orçamento!$C$2:$ZZ$2,1,MATCH(CN$1,[3]Orçamento!$C$1:$ZZ$1,0)),0) + IFERROR(INDEX([4]Orçamento!$C$2:$ZZ$2,1,MATCH(CN$1,[4]Orçamento!$C$1:$ZZ$1,0)),0) + IFERROR(INDEX([5]Orçamento!$C$2:$ZZ$2,1,MATCH(CN$1,[5]Orçamento!$C$1:$ZZ$1,0)),0) + IFERROR(INDEX([6]Orçamento!$C$2:$ZZ$2,1,MATCH(CN$1,[6]Orçamento!$C$1:$ZZ$1,0)),0) + IFERROR(INDEX([7]Orçamento!$C$2:$ZZ$2,1,MATCH(CN$1,[7]Orçamento!$C$1:$ZZ$1,0)),0) + IFERROR(INDEX([8]Orçamento!$C$2:$ZZ$2,1,MATCH(CN$1,[8]Orçamento!$C$1:$ZZ$1,0)),0)</f>
        <v>972784.99999999988</v>
      </c>
      <c r="CO2" s="7">
        <f>IFERROR(INDEX([1]Orçamento!$C$2:$ZZ$2,1,MATCH(CO$1,[1]Orçamento!$C$1:$ZZ$1,0)),0) + IFERROR(INDEX([2]Orçamento!$C$2:$ZZ$2,1,MATCH(CO$1,[2]Orçamento!$C$1:$ZZ$1,0)),0) + IFERROR(INDEX([3]Orçamento!$C$2:$ZZ$2,1,MATCH(CO$1,[3]Orçamento!$C$1:$ZZ$1,0)),0) + IFERROR(INDEX([4]Orçamento!$C$2:$ZZ$2,1,MATCH(CO$1,[4]Orçamento!$C$1:$ZZ$1,0)),0) + IFERROR(INDEX([5]Orçamento!$C$2:$ZZ$2,1,MATCH(CO$1,[5]Orçamento!$C$1:$ZZ$1,0)),0) + IFERROR(INDEX([6]Orçamento!$C$2:$ZZ$2,1,MATCH(CO$1,[6]Orçamento!$C$1:$ZZ$1,0)),0) + IFERROR(INDEX([7]Orçamento!$C$2:$ZZ$2,1,MATCH(CO$1,[7]Orçamento!$C$1:$ZZ$1,0)),0) + IFERROR(INDEX([8]Orçamento!$C$2:$ZZ$2,1,MATCH(CO$1,[8]Orçamento!$C$1:$ZZ$1,0)),0)</f>
        <v>972784.99999999988</v>
      </c>
      <c r="CP2" s="7">
        <f>IFERROR(INDEX([1]Orçamento!$C$2:$ZZ$2,1,MATCH(CP$1,[1]Orçamento!$C$1:$ZZ$1,0)),0) + IFERROR(INDEX([2]Orçamento!$C$2:$ZZ$2,1,MATCH(CP$1,[2]Orçamento!$C$1:$ZZ$1,0)),0) + IFERROR(INDEX([3]Orçamento!$C$2:$ZZ$2,1,MATCH(CP$1,[3]Orçamento!$C$1:$ZZ$1,0)),0) + IFERROR(INDEX([4]Orçamento!$C$2:$ZZ$2,1,MATCH(CP$1,[4]Orçamento!$C$1:$ZZ$1,0)),0) + IFERROR(INDEX([5]Orçamento!$C$2:$ZZ$2,1,MATCH(CP$1,[5]Orçamento!$C$1:$ZZ$1,0)),0) + IFERROR(INDEX([6]Orçamento!$C$2:$ZZ$2,1,MATCH(CP$1,[6]Orçamento!$C$1:$ZZ$1,0)),0) + IFERROR(INDEX([7]Orçamento!$C$2:$ZZ$2,1,MATCH(CP$1,[7]Orçamento!$C$1:$ZZ$1,0)),0) + IFERROR(INDEX([8]Orçamento!$C$2:$ZZ$2,1,MATCH(CP$1,[8]Orçamento!$C$1:$ZZ$1,0)),0)</f>
        <v>972784.99999999988</v>
      </c>
      <c r="CQ2" s="7">
        <f>IFERROR(INDEX([1]Orçamento!$C$2:$ZZ$2,1,MATCH(CQ$1,[1]Orçamento!$C$1:$ZZ$1,0)),0) + IFERROR(INDEX([2]Orçamento!$C$2:$ZZ$2,1,MATCH(CQ$1,[2]Orçamento!$C$1:$ZZ$1,0)),0) + IFERROR(INDEX([3]Orçamento!$C$2:$ZZ$2,1,MATCH(CQ$1,[3]Orçamento!$C$1:$ZZ$1,0)),0) + IFERROR(INDEX([4]Orçamento!$C$2:$ZZ$2,1,MATCH(CQ$1,[4]Orçamento!$C$1:$ZZ$1,0)),0) + IFERROR(INDEX([5]Orçamento!$C$2:$ZZ$2,1,MATCH(CQ$1,[5]Orçamento!$C$1:$ZZ$1,0)),0) + IFERROR(INDEX([6]Orçamento!$C$2:$ZZ$2,1,MATCH(CQ$1,[6]Orçamento!$C$1:$ZZ$1,0)),0) + IFERROR(INDEX([7]Orçamento!$C$2:$ZZ$2,1,MATCH(CQ$1,[7]Orçamento!$C$1:$ZZ$1,0)),0) + IFERROR(INDEX([8]Orçamento!$C$2:$ZZ$2,1,MATCH(CQ$1,[8]Orçamento!$C$1:$ZZ$1,0)),0)</f>
        <v>972784.99999999988</v>
      </c>
      <c r="CR2" s="7">
        <f>IFERROR(INDEX([1]Orçamento!$C$2:$ZZ$2,1,MATCH(CR$1,[1]Orçamento!$C$1:$ZZ$1,0)),0) + IFERROR(INDEX([2]Orçamento!$C$2:$ZZ$2,1,MATCH(CR$1,[2]Orçamento!$C$1:$ZZ$1,0)),0) + IFERROR(INDEX([3]Orçamento!$C$2:$ZZ$2,1,MATCH(CR$1,[3]Orçamento!$C$1:$ZZ$1,0)),0) + IFERROR(INDEX([4]Orçamento!$C$2:$ZZ$2,1,MATCH(CR$1,[4]Orçamento!$C$1:$ZZ$1,0)),0) + IFERROR(INDEX([5]Orçamento!$C$2:$ZZ$2,1,MATCH(CR$1,[5]Orçamento!$C$1:$ZZ$1,0)),0) + IFERROR(INDEX([6]Orçamento!$C$2:$ZZ$2,1,MATCH(CR$1,[6]Orçamento!$C$1:$ZZ$1,0)),0) + IFERROR(INDEX([7]Orçamento!$C$2:$ZZ$2,1,MATCH(CR$1,[7]Orçamento!$C$1:$ZZ$1,0)),0) + IFERROR(INDEX([8]Orçamento!$C$2:$ZZ$2,1,MATCH(CR$1,[8]Orçamento!$C$1:$ZZ$1,0)),0)</f>
        <v>972784.99999999988</v>
      </c>
      <c r="CS2" s="7">
        <f>IFERROR(INDEX([1]Orçamento!$C$2:$ZZ$2,1,MATCH(CS$1,[1]Orçamento!$C$1:$ZZ$1,0)),0) + IFERROR(INDEX([2]Orçamento!$C$2:$ZZ$2,1,MATCH(CS$1,[2]Orçamento!$C$1:$ZZ$1,0)),0) + IFERROR(INDEX([3]Orçamento!$C$2:$ZZ$2,1,MATCH(CS$1,[3]Orçamento!$C$1:$ZZ$1,0)),0) + IFERROR(INDEX([4]Orçamento!$C$2:$ZZ$2,1,MATCH(CS$1,[4]Orçamento!$C$1:$ZZ$1,0)),0) + IFERROR(INDEX([5]Orçamento!$C$2:$ZZ$2,1,MATCH(CS$1,[5]Orçamento!$C$1:$ZZ$1,0)),0) + IFERROR(INDEX([6]Orçamento!$C$2:$ZZ$2,1,MATCH(CS$1,[6]Orçamento!$C$1:$ZZ$1,0)),0) + IFERROR(INDEX([7]Orçamento!$C$2:$ZZ$2,1,MATCH(CS$1,[7]Orçamento!$C$1:$ZZ$1,0)),0) + IFERROR(INDEX([8]Orçamento!$C$2:$ZZ$2,1,MATCH(CS$1,[8]Orçamento!$C$1:$ZZ$1,0)),0)</f>
        <v>972784.99999999988</v>
      </c>
      <c r="CT2" s="13">
        <f>SUM(CG2:CS2)</f>
        <v>35628863</v>
      </c>
      <c r="CU2" s="7">
        <f>IFERROR(INDEX([1]Orçamento!$C$2:$ZZ$2,1,MATCH(CU$1,[1]Orçamento!$C$1:$ZZ$1,0)),0) + IFERROR(INDEX([2]Orçamento!$C$2:$ZZ$2,1,MATCH(CU$1,[2]Orçamento!$C$1:$ZZ$1,0)),0) + IFERROR(INDEX([3]Orçamento!$C$2:$ZZ$2,1,MATCH(CU$1,[3]Orçamento!$C$1:$ZZ$1,0)),0) + IFERROR(INDEX([4]Orçamento!$C$2:$ZZ$2,1,MATCH(CU$1,[4]Orçamento!$C$1:$ZZ$1,0)),0) + IFERROR(INDEX([5]Orçamento!$C$2:$ZZ$2,1,MATCH(CU$1,[5]Orçamento!$C$1:$ZZ$1,0)),0) + IFERROR(INDEX([6]Orçamento!$C$2:$ZZ$2,1,MATCH(CU$1,[6]Orçamento!$C$1:$ZZ$1,0)),0) + IFERROR(INDEX([7]Orçamento!$C$2:$ZZ$2,1,MATCH(CU$1,[7]Orçamento!$C$1:$ZZ$1,0)),0) + IFERROR(INDEX([8]Orçamento!$C$2:$ZZ$2,1,MATCH(CU$1,[8]Orçamento!$C$1:$ZZ$1,0)),0)</f>
        <v>961730.62499999988</v>
      </c>
      <c r="CV2" s="7">
        <f>IFERROR(INDEX([1]Orçamento!$C$2:$ZZ$2,1,MATCH(CV$1,[1]Orçamento!$C$1:$ZZ$1,0)),0) + IFERROR(INDEX([2]Orçamento!$C$2:$ZZ$2,1,MATCH(CV$1,[2]Orçamento!$C$1:$ZZ$1,0)),0) + IFERROR(INDEX([3]Orçamento!$C$2:$ZZ$2,1,MATCH(CV$1,[3]Orçamento!$C$1:$ZZ$1,0)),0) + IFERROR(INDEX([4]Orçamento!$C$2:$ZZ$2,1,MATCH(CV$1,[4]Orçamento!$C$1:$ZZ$1,0)),0) + IFERROR(INDEX([5]Orçamento!$C$2:$ZZ$2,1,MATCH(CV$1,[5]Orçamento!$C$1:$ZZ$1,0)),0) + IFERROR(INDEX([6]Orçamento!$C$2:$ZZ$2,1,MATCH(CV$1,[6]Orçamento!$C$1:$ZZ$1,0)),0) + IFERROR(INDEX([7]Orçamento!$C$2:$ZZ$2,1,MATCH(CV$1,[7]Orçamento!$C$1:$ZZ$1,0)),0) + IFERROR(INDEX([8]Orçamento!$C$2:$ZZ$2,1,MATCH(CV$1,[8]Orçamento!$C$1:$ZZ$1,0)),0)</f>
        <v>961730.62499999988</v>
      </c>
      <c r="CW2" s="7">
        <f>IFERROR(INDEX([1]Orçamento!$C$2:$ZZ$2,1,MATCH(CW$1,[1]Orçamento!$C$1:$ZZ$1,0)),0) + IFERROR(INDEX([2]Orçamento!$C$2:$ZZ$2,1,MATCH(CW$1,[2]Orçamento!$C$1:$ZZ$1,0)),0) + IFERROR(INDEX([3]Orçamento!$C$2:$ZZ$2,1,MATCH(CW$1,[3]Orçamento!$C$1:$ZZ$1,0)),0) + IFERROR(INDEX([4]Orçamento!$C$2:$ZZ$2,1,MATCH(CW$1,[4]Orçamento!$C$1:$ZZ$1,0)),0) + IFERROR(INDEX([5]Orçamento!$C$2:$ZZ$2,1,MATCH(CW$1,[5]Orçamento!$C$1:$ZZ$1,0)),0) + IFERROR(INDEX([6]Orçamento!$C$2:$ZZ$2,1,MATCH(CW$1,[6]Orçamento!$C$1:$ZZ$1,0)),0) + IFERROR(INDEX([7]Orçamento!$C$2:$ZZ$2,1,MATCH(CW$1,[7]Orçamento!$C$1:$ZZ$1,0)),0) + IFERROR(INDEX([8]Orçamento!$C$2:$ZZ$2,1,MATCH(CW$1,[8]Orçamento!$C$1:$ZZ$1,0)),0)</f>
        <v>961730.62499999988</v>
      </c>
      <c r="CX2" s="7">
        <f>IFERROR(INDEX([1]Orçamento!$C$2:$ZZ$2,1,MATCH(CX$1,[1]Orçamento!$C$1:$ZZ$1,0)),0) + IFERROR(INDEX([2]Orçamento!$C$2:$ZZ$2,1,MATCH(CX$1,[2]Orçamento!$C$1:$ZZ$1,0)),0) + IFERROR(INDEX([3]Orçamento!$C$2:$ZZ$2,1,MATCH(CX$1,[3]Orçamento!$C$1:$ZZ$1,0)),0) + IFERROR(INDEX([4]Orçamento!$C$2:$ZZ$2,1,MATCH(CX$1,[4]Orçamento!$C$1:$ZZ$1,0)),0) + IFERROR(INDEX([5]Orçamento!$C$2:$ZZ$2,1,MATCH(CX$1,[5]Orçamento!$C$1:$ZZ$1,0)),0) + IFERROR(INDEX([6]Orçamento!$C$2:$ZZ$2,1,MATCH(CX$1,[6]Orçamento!$C$1:$ZZ$1,0)),0) + IFERROR(INDEX([7]Orçamento!$C$2:$ZZ$2,1,MATCH(CX$1,[7]Orçamento!$C$1:$ZZ$1,0)),0) + IFERROR(INDEX([8]Orçamento!$C$2:$ZZ$2,1,MATCH(CX$1,[8]Orçamento!$C$1:$ZZ$1,0)),0)</f>
        <v>961730.62499999988</v>
      </c>
      <c r="CY2" s="7">
        <f>IFERROR(INDEX([1]Orçamento!$C$2:$ZZ$2,1,MATCH(CY$1,[1]Orçamento!$C$1:$ZZ$1,0)),0) + IFERROR(INDEX([2]Orçamento!$C$2:$ZZ$2,1,MATCH(CY$1,[2]Orçamento!$C$1:$ZZ$1,0)),0) + IFERROR(INDEX([3]Orçamento!$C$2:$ZZ$2,1,MATCH(CY$1,[3]Orçamento!$C$1:$ZZ$1,0)),0) + IFERROR(INDEX([4]Orçamento!$C$2:$ZZ$2,1,MATCH(CY$1,[4]Orçamento!$C$1:$ZZ$1,0)),0) + IFERROR(INDEX([5]Orçamento!$C$2:$ZZ$2,1,MATCH(CY$1,[5]Orçamento!$C$1:$ZZ$1,0)),0) + IFERROR(INDEX([6]Orçamento!$C$2:$ZZ$2,1,MATCH(CY$1,[6]Orçamento!$C$1:$ZZ$1,0)),0) + IFERROR(INDEX([7]Orçamento!$C$2:$ZZ$2,1,MATCH(CY$1,[7]Orçamento!$C$1:$ZZ$1,0)),0) + IFERROR(INDEX([8]Orçamento!$C$2:$ZZ$2,1,MATCH(CY$1,[8]Orçamento!$C$1:$ZZ$1,0)),0)</f>
        <v>961730.62499999988</v>
      </c>
      <c r="CZ2" s="7">
        <f>IFERROR(INDEX([1]Orçamento!$C$2:$ZZ$2,1,MATCH(CZ$1,[1]Orçamento!$C$1:$ZZ$1,0)),0) + IFERROR(INDEX([2]Orçamento!$C$2:$ZZ$2,1,MATCH(CZ$1,[2]Orçamento!$C$1:$ZZ$1,0)),0) + IFERROR(INDEX([3]Orçamento!$C$2:$ZZ$2,1,MATCH(CZ$1,[3]Orçamento!$C$1:$ZZ$1,0)),0) + IFERROR(INDEX([4]Orçamento!$C$2:$ZZ$2,1,MATCH(CZ$1,[4]Orçamento!$C$1:$ZZ$1,0)),0) + IFERROR(INDEX([5]Orçamento!$C$2:$ZZ$2,1,MATCH(CZ$1,[5]Orçamento!$C$1:$ZZ$1,0)),0) + IFERROR(INDEX([6]Orçamento!$C$2:$ZZ$2,1,MATCH(CZ$1,[6]Orçamento!$C$1:$ZZ$1,0)),0) + IFERROR(INDEX([7]Orçamento!$C$2:$ZZ$2,1,MATCH(CZ$1,[7]Orçamento!$C$1:$ZZ$1,0)),0) + IFERROR(INDEX([8]Orçamento!$C$2:$ZZ$2,1,MATCH(CZ$1,[8]Orçamento!$C$1:$ZZ$1,0)),0)</f>
        <v>961730.62499999988</v>
      </c>
      <c r="DA2" s="7">
        <f>IFERROR(INDEX([1]Orçamento!$C$2:$ZZ$2,1,MATCH(DA$1,[1]Orçamento!$C$1:$ZZ$1,0)),0) + IFERROR(INDEX([2]Orçamento!$C$2:$ZZ$2,1,MATCH(DA$1,[2]Orçamento!$C$1:$ZZ$1,0)),0) + IFERROR(INDEX([3]Orçamento!$C$2:$ZZ$2,1,MATCH(DA$1,[3]Orçamento!$C$1:$ZZ$1,0)),0) + IFERROR(INDEX([4]Orçamento!$C$2:$ZZ$2,1,MATCH(DA$1,[4]Orçamento!$C$1:$ZZ$1,0)),0) + IFERROR(INDEX([5]Orçamento!$C$2:$ZZ$2,1,MATCH(DA$1,[5]Orçamento!$C$1:$ZZ$1,0)),0) + IFERROR(INDEX([6]Orçamento!$C$2:$ZZ$2,1,MATCH(DA$1,[6]Orçamento!$C$1:$ZZ$1,0)),0) + IFERROR(INDEX([7]Orçamento!$C$2:$ZZ$2,1,MATCH(DA$1,[7]Orçamento!$C$1:$ZZ$1,0)),0) + IFERROR(INDEX([8]Orçamento!$C$2:$ZZ$2,1,MATCH(DA$1,[8]Orçamento!$C$1:$ZZ$1,0)),0)</f>
        <v>961730.62499999988</v>
      </c>
      <c r="DB2" s="7">
        <f>IFERROR(INDEX([1]Orçamento!$C$2:$ZZ$2,1,MATCH(DB$1,[1]Orçamento!$C$1:$ZZ$1,0)),0) + IFERROR(INDEX([2]Orçamento!$C$2:$ZZ$2,1,MATCH(DB$1,[2]Orçamento!$C$1:$ZZ$1,0)),0) + IFERROR(INDEX([3]Orçamento!$C$2:$ZZ$2,1,MATCH(DB$1,[3]Orçamento!$C$1:$ZZ$1,0)),0) + IFERROR(INDEX([4]Orçamento!$C$2:$ZZ$2,1,MATCH(DB$1,[4]Orçamento!$C$1:$ZZ$1,0)),0) + IFERROR(INDEX([5]Orçamento!$C$2:$ZZ$2,1,MATCH(DB$1,[5]Orçamento!$C$1:$ZZ$1,0)),0) + IFERROR(INDEX([6]Orçamento!$C$2:$ZZ$2,1,MATCH(DB$1,[6]Orçamento!$C$1:$ZZ$1,0)),0) + IFERROR(INDEX([7]Orçamento!$C$2:$ZZ$2,1,MATCH(DB$1,[7]Orçamento!$C$1:$ZZ$1,0)),0) + IFERROR(INDEX([8]Orçamento!$C$2:$ZZ$2,1,MATCH(DB$1,[8]Orçamento!$C$1:$ZZ$1,0)),0)</f>
        <v>961730.62499999988</v>
      </c>
      <c r="DC2" s="7">
        <f>IFERROR(INDEX([1]Orçamento!$C$2:$ZZ$2,1,MATCH(DC$1,[1]Orçamento!$C$1:$ZZ$1,0)),0) + IFERROR(INDEX([2]Orçamento!$C$2:$ZZ$2,1,MATCH(DC$1,[2]Orçamento!$C$1:$ZZ$1,0)),0) + IFERROR(INDEX([3]Orçamento!$C$2:$ZZ$2,1,MATCH(DC$1,[3]Orçamento!$C$1:$ZZ$1,0)),0) + IFERROR(INDEX([4]Orçamento!$C$2:$ZZ$2,1,MATCH(DC$1,[4]Orçamento!$C$1:$ZZ$1,0)),0) + IFERROR(INDEX([5]Orçamento!$C$2:$ZZ$2,1,MATCH(DC$1,[5]Orçamento!$C$1:$ZZ$1,0)),0) + IFERROR(INDEX([6]Orçamento!$C$2:$ZZ$2,1,MATCH(DC$1,[6]Orçamento!$C$1:$ZZ$1,0)),0) + IFERROR(INDEX([7]Orçamento!$C$2:$ZZ$2,1,MATCH(DC$1,[7]Orçamento!$C$1:$ZZ$1,0)),0) + IFERROR(INDEX([8]Orçamento!$C$2:$ZZ$2,1,MATCH(DC$1,[8]Orçamento!$C$1:$ZZ$1,0)),0)</f>
        <v>961730.62499999988</v>
      </c>
      <c r="DD2" s="7">
        <f>IFERROR(INDEX([1]Orçamento!$C$2:$ZZ$2,1,MATCH(DD$1,[1]Orçamento!$C$1:$ZZ$1,0)),0) + IFERROR(INDEX([2]Orçamento!$C$2:$ZZ$2,1,MATCH(DD$1,[2]Orçamento!$C$1:$ZZ$1,0)),0) + IFERROR(INDEX([3]Orçamento!$C$2:$ZZ$2,1,MATCH(DD$1,[3]Orçamento!$C$1:$ZZ$1,0)),0) + IFERROR(INDEX([4]Orçamento!$C$2:$ZZ$2,1,MATCH(DD$1,[4]Orçamento!$C$1:$ZZ$1,0)),0) + IFERROR(INDEX([5]Orçamento!$C$2:$ZZ$2,1,MATCH(DD$1,[5]Orçamento!$C$1:$ZZ$1,0)),0) + IFERROR(INDEX([6]Orçamento!$C$2:$ZZ$2,1,MATCH(DD$1,[6]Orçamento!$C$1:$ZZ$1,0)),0) + IFERROR(INDEX([7]Orçamento!$C$2:$ZZ$2,1,MATCH(DD$1,[7]Orçamento!$C$1:$ZZ$1,0)),0) + IFERROR(INDEX([8]Orçamento!$C$2:$ZZ$2,1,MATCH(DD$1,[8]Orçamento!$C$1:$ZZ$1,0)),0)</f>
        <v>961730.62499999988</v>
      </c>
      <c r="DE2" s="7">
        <f>IFERROR(INDEX([1]Orçamento!$C$2:$ZZ$2,1,MATCH(DE$1,[1]Orçamento!$C$1:$ZZ$1,0)),0) + IFERROR(INDEX([2]Orçamento!$C$2:$ZZ$2,1,MATCH(DE$1,[2]Orçamento!$C$1:$ZZ$1,0)),0) + IFERROR(INDEX([3]Orçamento!$C$2:$ZZ$2,1,MATCH(DE$1,[3]Orçamento!$C$1:$ZZ$1,0)),0) + IFERROR(INDEX([4]Orçamento!$C$2:$ZZ$2,1,MATCH(DE$1,[4]Orçamento!$C$1:$ZZ$1,0)),0) + IFERROR(INDEX([5]Orçamento!$C$2:$ZZ$2,1,MATCH(DE$1,[5]Orçamento!$C$1:$ZZ$1,0)),0) + IFERROR(INDEX([6]Orçamento!$C$2:$ZZ$2,1,MATCH(DE$1,[6]Orçamento!$C$1:$ZZ$1,0)),0) + IFERROR(INDEX([7]Orçamento!$C$2:$ZZ$2,1,MATCH(DE$1,[7]Orçamento!$C$1:$ZZ$1,0)),0) + IFERROR(INDEX([8]Orçamento!$C$2:$ZZ$2,1,MATCH(DE$1,[8]Orçamento!$C$1:$ZZ$1,0)),0)</f>
        <v>961730.62499999988</v>
      </c>
      <c r="DF2" s="7">
        <f>IFERROR(INDEX([1]Orçamento!$C$2:$ZZ$2,1,MATCH(DF$1,[1]Orçamento!$C$1:$ZZ$1,0)),0) + IFERROR(INDEX([2]Orçamento!$C$2:$ZZ$2,1,MATCH(DF$1,[2]Orçamento!$C$1:$ZZ$1,0)),0) + IFERROR(INDEX([3]Orçamento!$C$2:$ZZ$2,1,MATCH(DF$1,[3]Orçamento!$C$1:$ZZ$1,0)),0) + IFERROR(INDEX([4]Orçamento!$C$2:$ZZ$2,1,MATCH(DF$1,[4]Orçamento!$C$1:$ZZ$1,0)),0) + IFERROR(INDEX([5]Orçamento!$C$2:$ZZ$2,1,MATCH(DF$1,[5]Orçamento!$C$1:$ZZ$1,0)),0) + IFERROR(INDEX([6]Orçamento!$C$2:$ZZ$2,1,MATCH(DF$1,[6]Orçamento!$C$1:$ZZ$1,0)),0) + IFERROR(INDEX([7]Orçamento!$C$2:$ZZ$2,1,MATCH(DF$1,[7]Orçamento!$C$1:$ZZ$1,0)),0) + IFERROR(INDEX([8]Orçamento!$C$2:$ZZ$2,1,MATCH(DF$1,[8]Orçamento!$C$1:$ZZ$1,0)),0)</f>
        <v>961730.62499999988</v>
      </c>
      <c r="DG2" s="13">
        <f>SUM(CT2:DF2)</f>
        <v>47169630.5</v>
      </c>
    </row>
    <row r="5" spans="1:112" x14ac:dyDescent="0.25">
      <c r="B5" s="5" t="s">
        <v>11</v>
      </c>
      <c r="C5" s="8">
        <f>C2-C8</f>
        <v>-19000</v>
      </c>
      <c r="D5" s="8">
        <f t="shared" ref="D5:BO5" si="0">D2-D8</f>
        <v>-56530.25</v>
      </c>
      <c r="E5" s="8">
        <f t="shared" si="0"/>
        <v>-21480</v>
      </c>
      <c r="F5" s="8">
        <f t="shared" si="0"/>
        <v>-41914.983124999999</v>
      </c>
      <c r="G5" s="8">
        <f t="shared" si="0"/>
        <v>-39608.399375000001</v>
      </c>
      <c r="H5" s="8">
        <f t="shared" si="0"/>
        <v>-20216.561250000002</v>
      </c>
      <c r="I5" s="8">
        <f t="shared" si="0"/>
        <v>-20216.561250000002</v>
      </c>
      <c r="J5" s="8">
        <f t="shared" si="0"/>
        <v>-20216.561250000002</v>
      </c>
      <c r="K5" s="8">
        <f t="shared" si="0"/>
        <v>-20216.561250000002</v>
      </c>
      <c r="L5" s="8">
        <f t="shared" si="0"/>
        <v>-20516.561250000002</v>
      </c>
      <c r="M5" s="8">
        <f t="shared" si="0"/>
        <v>-20516.561250000002</v>
      </c>
      <c r="N5" s="8">
        <f t="shared" si="0"/>
        <v>-20516.561250000002</v>
      </c>
      <c r="O5" s="8">
        <f t="shared" si="0"/>
        <v>-20516.561250000002</v>
      </c>
      <c r="P5" s="8">
        <f t="shared" si="0"/>
        <v>-20516.561250000002</v>
      </c>
      <c r="Q5" s="8">
        <f t="shared" si="0"/>
        <v>-20516.561250000002</v>
      </c>
      <c r="R5" s="8">
        <f t="shared" si="0"/>
        <v>-20516.561250000002</v>
      </c>
      <c r="S5" s="8">
        <f t="shared" si="0"/>
        <v>-20516.561250000002</v>
      </c>
      <c r="T5" s="10">
        <f>SUM(C5:S5)</f>
        <v>-423532.36750000023</v>
      </c>
      <c r="U5" s="8">
        <f>U2-U8</f>
        <v>-17529.653125000019</v>
      </c>
      <c r="V5" s="8">
        <f t="shared" si="0"/>
        <v>-17529.653125000019</v>
      </c>
      <c r="W5" s="8">
        <f t="shared" si="0"/>
        <v>-825144.89781250001</v>
      </c>
      <c r="X5" s="8">
        <f t="shared" si="0"/>
        <v>-31961.220937500017</v>
      </c>
      <c r="Y5" s="8">
        <f t="shared" si="0"/>
        <v>-29654.637187500011</v>
      </c>
      <c r="Z5" s="8">
        <f t="shared" si="0"/>
        <v>-10262.799062500024</v>
      </c>
      <c r="AA5" s="8">
        <f t="shared" si="0"/>
        <v>-10262.799062500024</v>
      </c>
      <c r="AB5" s="8">
        <f t="shared" si="0"/>
        <v>-29262.799062500024</v>
      </c>
      <c r="AC5" s="8">
        <f t="shared" si="0"/>
        <v>-29262.799062500024</v>
      </c>
      <c r="AD5" s="8">
        <f t="shared" si="0"/>
        <v>-831468.45906250004</v>
      </c>
      <c r="AE5" s="8">
        <f t="shared" si="0"/>
        <v>-38284.782187500023</v>
      </c>
      <c r="AF5" s="8">
        <f t="shared" si="0"/>
        <v>-35978.198437500032</v>
      </c>
      <c r="AG5" s="10">
        <f>SUM(T5:AF5)</f>
        <v>-2330135.0656250003</v>
      </c>
      <c r="AH5" s="8">
        <f t="shared" si="0"/>
        <v>8849.1951249999984</v>
      </c>
      <c r="AI5" s="8">
        <f t="shared" si="0"/>
        <v>8849.1951249999984</v>
      </c>
      <c r="AJ5" s="8">
        <f t="shared" si="0"/>
        <v>-798766.04956250009</v>
      </c>
      <c r="AK5" s="8">
        <f t="shared" si="0"/>
        <v>-5582.3726874999993</v>
      </c>
      <c r="AL5" s="8">
        <f t="shared" si="0"/>
        <v>-3575.7889375000086</v>
      </c>
      <c r="AM5" s="8">
        <f t="shared" si="0"/>
        <v>15816.049187500001</v>
      </c>
      <c r="AN5" s="8">
        <f t="shared" si="0"/>
        <v>15816.049187500001</v>
      </c>
      <c r="AO5" s="8">
        <f t="shared" si="0"/>
        <v>-3183.9508124999993</v>
      </c>
      <c r="AP5" s="8">
        <f t="shared" si="0"/>
        <v>-3183.9508124999993</v>
      </c>
      <c r="AQ5" s="8">
        <f t="shared" si="0"/>
        <v>-805389.6108125</v>
      </c>
      <c r="AR5" s="8">
        <f t="shared" si="0"/>
        <v>-12205.933937499998</v>
      </c>
      <c r="AS5" s="8">
        <f t="shared" si="0"/>
        <v>-9899.3501875000075</v>
      </c>
      <c r="AT5" s="10">
        <f>SUM(AG5:AS5)</f>
        <v>-3922591.5847500004</v>
      </c>
      <c r="AU5" s="8">
        <f t="shared" si="0"/>
        <v>72348.303375000018</v>
      </c>
      <c r="AV5" s="8">
        <f t="shared" si="0"/>
        <v>72348.303375000018</v>
      </c>
      <c r="AW5" s="8">
        <f t="shared" si="0"/>
        <v>-740976.52600000007</v>
      </c>
      <c r="AX5" s="8">
        <f t="shared" si="0"/>
        <v>52207.150874999992</v>
      </c>
      <c r="AY5" s="8">
        <f t="shared" si="0"/>
        <v>54213.734624999983</v>
      </c>
      <c r="AZ5" s="8">
        <f t="shared" si="0"/>
        <v>73605.572749999992</v>
      </c>
      <c r="BA5" s="8">
        <f t="shared" si="0"/>
        <v>73605.572749999992</v>
      </c>
      <c r="BB5" s="8">
        <f t="shared" si="0"/>
        <v>54605.572749999992</v>
      </c>
      <c r="BC5" s="8">
        <f t="shared" si="0"/>
        <v>54605.572749999992</v>
      </c>
      <c r="BD5" s="8">
        <f t="shared" si="0"/>
        <v>-747600.0872500001</v>
      </c>
      <c r="BE5" s="8">
        <f t="shared" si="0"/>
        <v>45583.589624999964</v>
      </c>
      <c r="BF5" s="8">
        <f t="shared" si="0"/>
        <v>47890.173375000013</v>
      </c>
      <c r="BG5" s="10">
        <f>SUM(AT5:BF5)</f>
        <v>-4810154.6517500002</v>
      </c>
      <c r="BH5" s="8">
        <f t="shared" si="0"/>
        <v>165784.03922499978</v>
      </c>
      <c r="BI5" s="8">
        <f t="shared" si="0"/>
        <v>165784.03922499978</v>
      </c>
      <c r="BJ5" s="8">
        <f t="shared" si="0"/>
        <v>-647540.79015000013</v>
      </c>
      <c r="BK5" s="8">
        <f t="shared" si="0"/>
        <v>145642.88672499981</v>
      </c>
      <c r="BL5" s="8">
        <f t="shared" si="0"/>
        <v>147649.47047499986</v>
      </c>
      <c r="BM5" s="8">
        <f t="shared" si="0"/>
        <v>133127.66909999988</v>
      </c>
      <c r="BN5" s="8">
        <f t="shared" si="0"/>
        <v>167041.30859999981</v>
      </c>
      <c r="BO5" s="8">
        <f t="shared" si="0"/>
        <v>167041.30859999981</v>
      </c>
      <c r="BP5" s="8">
        <f t="shared" ref="BP5:DE5" si="1">BP2-BP8</f>
        <v>167041.30859999981</v>
      </c>
      <c r="BQ5" s="8">
        <f t="shared" si="1"/>
        <v>166741.30859999981</v>
      </c>
      <c r="BR5" s="8">
        <f t="shared" si="1"/>
        <v>166741.30859999981</v>
      </c>
      <c r="BS5" s="8">
        <f t="shared" si="1"/>
        <v>166741.30859999981</v>
      </c>
      <c r="BT5" s="10">
        <f>SUM(BG5:BS5)</f>
        <v>-3698359.4855500008</v>
      </c>
      <c r="BU5" s="8">
        <f t="shared" si="1"/>
        <v>312770.19674499991</v>
      </c>
      <c r="BV5" s="8">
        <f t="shared" si="1"/>
        <v>312770.19674499991</v>
      </c>
      <c r="BW5" s="8">
        <f t="shared" si="1"/>
        <v>301351.02736999997</v>
      </c>
      <c r="BX5" s="8">
        <f t="shared" si="1"/>
        <v>301351.02736999997</v>
      </c>
      <c r="BY5" s="8">
        <f t="shared" si="1"/>
        <v>301351.02736999997</v>
      </c>
      <c r="BZ5" s="8">
        <f t="shared" si="1"/>
        <v>301351.02736999997</v>
      </c>
      <c r="CA5" s="8">
        <f t="shared" si="1"/>
        <v>301351.02736999997</v>
      </c>
      <c r="CB5" s="8">
        <f t="shared" si="1"/>
        <v>301351.02736999997</v>
      </c>
      <c r="CC5" s="8">
        <f t="shared" si="1"/>
        <v>301351.02736999997</v>
      </c>
      <c r="CD5" s="8">
        <f t="shared" si="1"/>
        <v>301351.02736999997</v>
      </c>
      <c r="CE5" s="8">
        <f t="shared" si="1"/>
        <v>301351.02736999997</v>
      </c>
      <c r="CF5" s="8">
        <f t="shared" si="1"/>
        <v>301351.02736999997</v>
      </c>
      <c r="CG5" s="10">
        <f>SUM(BT5:CF5)</f>
        <v>-59308.818360001664</v>
      </c>
      <c r="CH5" s="8">
        <f t="shared" si="1"/>
        <v>410666.09331699985</v>
      </c>
      <c r="CI5" s="8">
        <f t="shared" si="1"/>
        <v>410666.09331699985</v>
      </c>
      <c r="CJ5" s="8">
        <f t="shared" si="1"/>
        <v>410666.09331699985</v>
      </c>
      <c r="CK5" s="8">
        <f t="shared" si="1"/>
        <v>410666.09331699985</v>
      </c>
      <c r="CL5" s="8">
        <f t="shared" si="1"/>
        <v>410666.09331699985</v>
      </c>
      <c r="CM5" s="8">
        <f t="shared" si="1"/>
        <v>383334.04816699983</v>
      </c>
      <c r="CN5" s="8">
        <f t="shared" si="1"/>
        <v>410666.09331699985</v>
      </c>
      <c r="CO5" s="8">
        <f t="shared" si="1"/>
        <v>410666.09331699985</v>
      </c>
      <c r="CP5" s="8">
        <f t="shared" si="1"/>
        <v>410666.09331699985</v>
      </c>
      <c r="CQ5" s="8">
        <f t="shared" si="1"/>
        <v>410666.09331699985</v>
      </c>
      <c r="CR5" s="8">
        <f t="shared" si="1"/>
        <v>410666.09331699985</v>
      </c>
      <c r="CS5" s="8">
        <f t="shared" si="1"/>
        <v>410666.09331699985</v>
      </c>
      <c r="CT5" s="10">
        <f>SUM(CG5:CS5)</f>
        <v>4841352.2562939962</v>
      </c>
      <c r="CU5" s="8">
        <f t="shared" si="1"/>
        <v>420790.99009119987</v>
      </c>
      <c r="CV5" s="8">
        <f t="shared" si="1"/>
        <v>420790.99009119987</v>
      </c>
      <c r="CW5" s="8">
        <f t="shared" si="1"/>
        <v>420790.99009119987</v>
      </c>
      <c r="CX5" s="8">
        <f t="shared" si="1"/>
        <v>420790.99009119987</v>
      </c>
      <c r="CY5" s="8">
        <f t="shared" si="1"/>
        <v>420790.99009119987</v>
      </c>
      <c r="CZ5" s="8">
        <f t="shared" si="1"/>
        <v>420790.99009119987</v>
      </c>
      <c r="DA5" s="8">
        <f t="shared" si="1"/>
        <v>420790.99009119987</v>
      </c>
      <c r="DB5" s="8">
        <f t="shared" si="1"/>
        <v>420790.99009119987</v>
      </c>
      <c r="DC5" s="8">
        <f t="shared" si="1"/>
        <v>420790.99009119987</v>
      </c>
      <c r="DD5" s="8">
        <f t="shared" si="1"/>
        <v>420790.99009119987</v>
      </c>
      <c r="DE5" s="8">
        <f t="shared" si="1"/>
        <v>420790.99009119987</v>
      </c>
      <c r="DF5" s="8">
        <f>DF2-DF8</f>
        <v>420790.99009119987</v>
      </c>
      <c r="DG5" s="10">
        <f>SUM(CT5:DF5)</f>
        <v>9890844.1373883933</v>
      </c>
      <c r="DH5" s="10">
        <f>'Capex Total '!B11</f>
        <v>3029888.0573883941</v>
      </c>
    </row>
    <row r="6" spans="1:112" x14ac:dyDescent="0.25">
      <c r="B6" s="11" t="s">
        <v>13</v>
      </c>
      <c r="C6" s="12"/>
      <c r="D6" s="12"/>
      <c r="E6" s="12"/>
      <c r="F6" s="12">
        <f t="shared" ref="F6:BO6" si="2">F5/F2</f>
        <v>-17.081575354677671</v>
      </c>
      <c r="G6" s="12">
        <f t="shared" si="2"/>
        <v>-8.070787677338835</v>
      </c>
      <c r="H6" s="12">
        <f t="shared" si="2"/>
        <v>-0.76483004038550684</v>
      </c>
      <c r="I6" s="12">
        <f t="shared" si="2"/>
        <v>-0.76483004038550684</v>
      </c>
      <c r="J6" s="12">
        <f t="shared" si="2"/>
        <v>-0.76483004038550684</v>
      </c>
      <c r="K6" s="12">
        <f t="shared" si="2"/>
        <v>-0.76483004038550684</v>
      </c>
      <c r="L6" s="12">
        <f t="shared" si="2"/>
        <v>-0.77617959727988972</v>
      </c>
      <c r="M6" s="12">
        <f t="shared" si="2"/>
        <v>-0.77617959727988972</v>
      </c>
      <c r="N6" s="12">
        <f t="shared" si="2"/>
        <v>-0.77617959727988972</v>
      </c>
      <c r="O6" s="12">
        <f t="shared" si="2"/>
        <v>-0.77617959727988972</v>
      </c>
      <c r="P6" s="12">
        <f t="shared" si="2"/>
        <v>-0.77617959727988972</v>
      </c>
      <c r="Q6" s="12">
        <f t="shared" si="2"/>
        <v>-0.77617959727988972</v>
      </c>
      <c r="R6" s="12">
        <f t="shared" si="2"/>
        <v>-0.77617959727988972</v>
      </c>
      <c r="S6" s="12">
        <f t="shared" si="2"/>
        <v>-0.77617959727988972</v>
      </c>
      <c r="T6" s="12">
        <f t="shared" si="2"/>
        <v>-1.3049655729942076</v>
      </c>
      <c r="U6" s="12">
        <f t="shared" si="2"/>
        <v>-0.31715321987900758</v>
      </c>
      <c r="V6" s="12">
        <f t="shared" si="2"/>
        <v>-0.31715321987900758</v>
      </c>
      <c r="W6" s="12">
        <f t="shared" si="2"/>
        <v>-14.928838542432297</v>
      </c>
      <c r="X6" s="12">
        <f t="shared" si="2"/>
        <v>-0.55367414961493566</v>
      </c>
      <c r="Y6" s="12">
        <f t="shared" si="2"/>
        <v>-0.49276975028871983</v>
      </c>
      <c r="Z6" s="12">
        <f t="shared" si="2"/>
        <v>-0.12560854495691065</v>
      </c>
      <c r="AA6" s="12">
        <f t="shared" si="2"/>
        <v>-0.12560854495691065</v>
      </c>
      <c r="AB6" s="12">
        <f t="shared" si="2"/>
        <v>-0.35815352022605856</v>
      </c>
      <c r="AC6" s="12">
        <f t="shared" si="2"/>
        <v>-0.35815352022605856</v>
      </c>
      <c r="AD6" s="12">
        <f t="shared" si="2"/>
        <v>-10.176516434198188</v>
      </c>
      <c r="AE6" s="12">
        <f t="shared" si="2"/>
        <v>-0.45491317715469742</v>
      </c>
      <c r="AF6" s="12">
        <f t="shared" si="2"/>
        <v>-0.41539387831975311</v>
      </c>
      <c r="AG6" s="12">
        <f t="shared" si="2"/>
        <v>-1.9621048907418808</v>
      </c>
      <c r="AH6" s="12">
        <f t="shared" si="2"/>
        <v>5.2011370807946697E-2</v>
      </c>
      <c r="AI6" s="12">
        <f t="shared" si="2"/>
        <v>5.2011370807946697E-2</v>
      </c>
      <c r="AJ6" s="12">
        <f t="shared" si="2"/>
        <v>-4.6947678976164431</v>
      </c>
      <c r="AK6" s="12">
        <f t="shared" si="2"/>
        <v>-3.2344061097340386E-2</v>
      </c>
      <c r="AL6" s="12">
        <f t="shared" si="2"/>
        <v>-2.0427564200523052E-2</v>
      </c>
      <c r="AM6" s="12">
        <f t="shared" si="2"/>
        <v>8.04591651675369E-2</v>
      </c>
      <c r="AN6" s="12">
        <f t="shared" si="2"/>
        <v>8.04591651675369E-2</v>
      </c>
      <c r="AO6" s="12">
        <f t="shared" si="2"/>
        <v>-1.619734620645449E-2</v>
      </c>
      <c r="AP6" s="12">
        <f t="shared" si="2"/>
        <v>-1.619734620645449E-2</v>
      </c>
      <c r="AQ6" s="12">
        <f t="shared" si="2"/>
        <v>-4.0971657935785739</v>
      </c>
      <c r="AR6" s="12">
        <f t="shared" si="2"/>
        <v>-6.1328280920318577E-2</v>
      </c>
      <c r="AS6" s="12">
        <f t="shared" si="2"/>
        <v>-4.9133165512706016E-2</v>
      </c>
      <c r="AT6" s="12">
        <f t="shared" si="2"/>
        <v>-1.1439473240231879</v>
      </c>
      <c r="AU6" s="12">
        <f t="shared" si="2"/>
        <v>0.21535101289531869</v>
      </c>
      <c r="AV6" s="12">
        <f t="shared" si="2"/>
        <v>0.21535101289531869</v>
      </c>
      <c r="AW6" s="12">
        <f t="shared" si="2"/>
        <v>-2.2055810290209785</v>
      </c>
      <c r="AX6" s="12">
        <f t="shared" si="2"/>
        <v>0.15427231909606437</v>
      </c>
      <c r="AY6" s="12">
        <f t="shared" si="2"/>
        <v>0.1590485165772306</v>
      </c>
      <c r="AZ6" s="12">
        <f t="shared" si="2"/>
        <v>0.20311261065487818</v>
      </c>
      <c r="BA6" s="12">
        <f t="shared" si="2"/>
        <v>0.20311261065487818</v>
      </c>
      <c r="BB6" s="12">
        <f t="shared" si="2"/>
        <v>0.15068261849178227</v>
      </c>
      <c r="BC6" s="12">
        <f t="shared" si="2"/>
        <v>0.15068261849178227</v>
      </c>
      <c r="BD6" s="12">
        <f t="shared" si="2"/>
        <v>-2.0629824587182801</v>
      </c>
      <c r="BE6" s="12">
        <f t="shared" si="2"/>
        <v>0.12494069501696702</v>
      </c>
      <c r="BF6" s="12">
        <f t="shared" si="2"/>
        <v>0.1303859074689496</v>
      </c>
      <c r="BG6" s="12">
        <f t="shared" si="2"/>
        <v>-0.62794016268593877</v>
      </c>
      <c r="BH6" s="12">
        <f t="shared" si="2"/>
        <v>0.2976145712784159</v>
      </c>
      <c r="BI6" s="12">
        <f t="shared" si="2"/>
        <v>0.2976145712784159</v>
      </c>
      <c r="BJ6" s="12">
        <f t="shared" si="2"/>
        <v>-1.1624615707681327</v>
      </c>
      <c r="BK6" s="12">
        <f t="shared" si="2"/>
        <v>0.26031060150615287</v>
      </c>
      <c r="BL6" s="12">
        <f t="shared" si="2"/>
        <v>0.26274467825561981</v>
      </c>
      <c r="BM6" s="12">
        <f t="shared" si="2"/>
        <v>0.2689227832874278</v>
      </c>
      <c r="BN6" s="12">
        <f t="shared" si="2"/>
        <v>0.28628675685611454</v>
      </c>
      <c r="BO6" s="12">
        <f t="shared" si="2"/>
        <v>0.28628675685611454</v>
      </c>
      <c r="BP6" s="12">
        <f t="shared" ref="BP6:DE6" si="3">BP5/BP2</f>
        <v>0.28628675685611454</v>
      </c>
      <c r="BQ6" s="12">
        <f t="shared" si="3"/>
        <v>0.28577259645006492</v>
      </c>
      <c r="BR6" s="12">
        <f t="shared" si="3"/>
        <v>0.28577259645006492</v>
      </c>
      <c r="BS6" s="12">
        <f t="shared" si="3"/>
        <v>0.28577259645006492</v>
      </c>
      <c r="BT6" s="12">
        <f t="shared" si="3"/>
        <v>-0.25596520634185249</v>
      </c>
      <c r="BU6" s="12">
        <f t="shared" si="3"/>
        <v>0.39296934565248792</v>
      </c>
      <c r="BV6" s="12">
        <f t="shared" si="3"/>
        <v>0.39296934565248792</v>
      </c>
      <c r="BW6" s="12">
        <f t="shared" si="3"/>
        <v>0.37862212343026574</v>
      </c>
      <c r="BX6" s="12">
        <f t="shared" si="3"/>
        <v>0.37862212343026574</v>
      </c>
      <c r="BY6" s="12">
        <f t="shared" si="3"/>
        <v>0.37862212343026574</v>
      </c>
      <c r="BZ6" s="12">
        <f t="shared" si="3"/>
        <v>0.37862212343026574</v>
      </c>
      <c r="CA6" s="12">
        <f t="shared" si="3"/>
        <v>0.37862212343026574</v>
      </c>
      <c r="CB6" s="12">
        <f t="shared" si="3"/>
        <v>0.37862212343026574</v>
      </c>
      <c r="CC6" s="12">
        <f t="shared" si="3"/>
        <v>0.37862212343026574</v>
      </c>
      <c r="CD6" s="12">
        <f t="shared" si="3"/>
        <v>0.37862212343026574</v>
      </c>
      <c r="CE6" s="12">
        <f t="shared" si="3"/>
        <v>0.37862212343026574</v>
      </c>
      <c r="CF6" s="12">
        <f t="shared" si="3"/>
        <v>0.37862212343026574</v>
      </c>
      <c r="CG6" s="12">
        <f t="shared" si="3"/>
        <v>-2.4712357226887301E-3</v>
      </c>
      <c r="CH6" s="12">
        <f t="shared" si="3"/>
        <v>0.42215504280699218</v>
      </c>
      <c r="CI6" s="12">
        <f t="shared" si="3"/>
        <v>0.42215504280699218</v>
      </c>
      <c r="CJ6" s="12">
        <f t="shared" si="3"/>
        <v>0.42215504280699218</v>
      </c>
      <c r="CK6" s="12">
        <f t="shared" si="3"/>
        <v>0.42215504280699218</v>
      </c>
      <c r="CL6" s="12">
        <f t="shared" si="3"/>
        <v>0.42215504280699218</v>
      </c>
      <c r="CM6" s="12">
        <f t="shared" si="3"/>
        <v>0.41282302920035419</v>
      </c>
      <c r="CN6" s="12">
        <f t="shared" si="3"/>
        <v>0.42215504280699218</v>
      </c>
      <c r="CO6" s="12">
        <f t="shared" si="3"/>
        <v>0.42215504280699218</v>
      </c>
      <c r="CP6" s="12">
        <f t="shared" si="3"/>
        <v>0.42215504280699218</v>
      </c>
      <c r="CQ6" s="12">
        <f t="shared" si="3"/>
        <v>0.42215504280699218</v>
      </c>
      <c r="CR6" s="12">
        <f t="shared" si="3"/>
        <v>0.42215504280699218</v>
      </c>
      <c r="CS6" s="12">
        <f t="shared" si="3"/>
        <v>0.42215504280699218</v>
      </c>
      <c r="CT6" s="12">
        <f t="shared" si="3"/>
        <v>0.13588287272299418</v>
      </c>
      <c r="CU6" s="12">
        <f t="shared" si="3"/>
        <v>0.43753518828746868</v>
      </c>
      <c r="CV6" s="12">
        <f t="shared" si="3"/>
        <v>0.43753518828746868</v>
      </c>
      <c r="CW6" s="12">
        <f t="shared" si="3"/>
        <v>0.43753518828746868</v>
      </c>
      <c r="CX6" s="12">
        <f t="shared" si="3"/>
        <v>0.43753518828746868</v>
      </c>
      <c r="CY6" s="12">
        <f t="shared" si="3"/>
        <v>0.43753518828746868</v>
      </c>
      <c r="CZ6" s="12">
        <f t="shared" si="3"/>
        <v>0.43753518828746868</v>
      </c>
      <c r="DA6" s="12">
        <f t="shared" si="3"/>
        <v>0.43753518828746868</v>
      </c>
      <c r="DB6" s="12">
        <f t="shared" si="3"/>
        <v>0.43753518828746868</v>
      </c>
      <c r="DC6" s="12">
        <f t="shared" si="3"/>
        <v>0.43753518828746868</v>
      </c>
      <c r="DD6" s="12">
        <f t="shared" si="3"/>
        <v>0.43753518828746868</v>
      </c>
      <c r="DE6" s="12">
        <f t="shared" si="3"/>
        <v>0.43753518828746868</v>
      </c>
      <c r="DF6" s="12">
        <f>DF5/DF2</f>
        <v>0.43753518828746868</v>
      </c>
      <c r="DG6" s="12">
        <f>DG5/DG2</f>
        <v>0.20968669952562791</v>
      </c>
    </row>
    <row r="8" spans="1:112" x14ac:dyDescent="0.25">
      <c r="B8" s="6" t="s">
        <v>12</v>
      </c>
      <c r="C8" s="7">
        <f>IFERROR(INDEX([1]Orçamento!$C$8:$ZZ$8,1,MATCH(C$1,[1]Orçamento!$C$1:$ZZ$1,0)),0) + IFERROR(INDEX([2]Orçamento!$C$8:$ZZ$8,1,MATCH(C$1,[2]Orçamento!$C$1:$ZZ$1,0)),0) + IFERROR(INDEX([3]Orçamento!$C$8:$ZZ$8,1,MATCH(C$1,[3]Orçamento!$C$1:$ZZ$1,0)),0) + IFERROR(INDEX([4]Orçamento!$C$8:$ZZ$8,1,MATCH(C$1,[4]Orçamento!$C$1:$ZZ$1,0)),0) + IFERROR(INDEX([5]Orçamento!$C$8:$ZZ$8,1,MATCH(C$1,[5]Orçamento!$C$1:$ZZ$1,0)),0) + IFERROR(INDEX([6]Orçamento!$C$8:$ZZ$8,1,MATCH(C$1,[6]Orçamento!$C$1:$ZZ$1,0)),0) + IFERROR(INDEX([7]Orçamento!$C$8:$ZZ$8,1,MATCH(C$1,[7]Orçamento!$C$1:$ZZ$1,0)),0) + IFERROR(INDEX([8]Orçamento!$C$8:$ZZ$8,1,MATCH(C$1,[8]Orçamento!$C$1:$ZZ$1,0)),0)</f>
        <v>19000</v>
      </c>
      <c r="D8" s="7">
        <f>IFERROR(INDEX([1]Orçamento!$C$8:$ZZ$8,1,MATCH(D$1,[1]Orçamento!$C$1:$ZZ$1,0)),0) + IFERROR(INDEX([2]Orçamento!$C$8:$ZZ$8,1,MATCH(D$1,[2]Orçamento!$C$1:$ZZ$1,0)),0) + IFERROR(INDEX([3]Orçamento!$C$8:$ZZ$8,1,MATCH(D$1,[3]Orçamento!$C$1:$ZZ$1,0)),0) + IFERROR(INDEX([4]Orçamento!$C$8:$ZZ$8,1,MATCH(D$1,[4]Orçamento!$C$1:$ZZ$1,0)),0) + IFERROR(INDEX([5]Orçamento!$C$8:$ZZ$8,1,MATCH(D$1,[5]Orçamento!$C$1:$ZZ$1,0)),0) + IFERROR(INDEX([6]Orçamento!$C$8:$ZZ$8,1,MATCH(D$1,[6]Orçamento!$C$1:$ZZ$1,0)),0) + IFERROR(INDEX([7]Orçamento!$C$8:$ZZ$8,1,MATCH(D$1,[7]Orçamento!$C$1:$ZZ$1,0)),0) + IFERROR(INDEX([8]Orçamento!$C$8:$ZZ$8,1,MATCH(D$1,[8]Orçamento!$C$1:$ZZ$1,0)),0)</f>
        <v>56530.25</v>
      </c>
      <c r="E8" s="7">
        <f>IFERROR(INDEX([1]Orçamento!$C$8:$ZZ$8,1,MATCH(E$1,[1]Orçamento!$C$1:$ZZ$1,0)),0) + IFERROR(INDEX([2]Orçamento!$C$8:$ZZ$8,1,MATCH(E$1,[2]Orçamento!$C$1:$ZZ$1,0)),0) + IFERROR(INDEX([3]Orçamento!$C$8:$ZZ$8,1,MATCH(E$1,[3]Orçamento!$C$1:$ZZ$1,0)),0) + IFERROR(INDEX([4]Orçamento!$C$8:$ZZ$8,1,MATCH(E$1,[4]Orçamento!$C$1:$ZZ$1,0)),0) + IFERROR(INDEX([5]Orçamento!$C$8:$ZZ$8,1,MATCH(E$1,[5]Orçamento!$C$1:$ZZ$1,0)),0) + IFERROR(INDEX([6]Orçamento!$C$8:$ZZ$8,1,MATCH(E$1,[6]Orçamento!$C$1:$ZZ$1,0)),0) + IFERROR(INDEX([7]Orçamento!$C$8:$ZZ$8,1,MATCH(E$1,[7]Orçamento!$C$1:$ZZ$1,0)),0) + IFERROR(INDEX([8]Orçamento!$C$8:$ZZ$8,1,MATCH(E$1,[8]Orçamento!$C$1:$ZZ$1,0)),0)</f>
        <v>21480</v>
      </c>
      <c r="F8" s="7">
        <f>IFERROR(INDEX([1]Orçamento!$C$8:$ZZ$8,1,MATCH(F$1,[1]Orçamento!$C$1:$ZZ$1,0)),0) + IFERROR(INDEX([2]Orçamento!$C$8:$ZZ$8,1,MATCH(F$1,[2]Orçamento!$C$1:$ZZ$1,0)),0) + IFERROR(INDEX([3]Orçamento!$C$8:$ZZ$8,1,MATCH(F$1,[3]Orçamento!$C$1:$ZZ$1,0)),0) + IFERROR(INDEX([4]Orçamento!$C$8:$ZZ$8,1,MATCH(F$1,[4]Orçamento!$C$1:$ZZ$1,0)),0) + IFERROR(INDEX([5]Orçamento!$C$8:$ZZ$8,1,MATCH(F$1,[5]Orçamento!$C$1:$ZZ$1,0)),0) + IFERROR(INDEX([6]Orçamento!$C$8:$ZZ$8,1,MATCH(F$1,[6]Orçamento!$C$1:$ZZ$1,0)),0) + IFERROR(INDEX([7]Orçamento!$C$8:$ZZ$8,1,MATCH(F$1,[7]Orçamento!$C$1:$ZZ$1,0)),0) + IFERROR(INDEX([8]Orçamento!$C$8:$ZZ$8,1,MATCH(F$1,[8]Orçamento!$C$1:$ZZ$1,0)),0)</f>
        <v>44368.795624999999</v>
      </c>
      <c r="G8" s="7">
        <f>IFERROR(INDEX([1]Orçamento!$C$8:$ZZ$8,1,MATCH(G$1,[1]Orçamento!$C$1:$ZZ$1,0)),0) + IFERROR(INDEX([2]Orçamento!$C$8:$ZZ$8,1,MATCH(G$1,[2]Orçamento!$C$1:$ZZ$1,0)),0) + IFERROR(INDEX([3]Orçamento!$C$8:$ZZ$8,1,MATCH(G$1,[3]Orçamento!$C$1:$ZZ$1,0)),0) + IFERROR(INDEX([4]Orçamento!$C$8:$ZZ$8,1,MATCH(G$1,[4]Orçamento!$C$1:$ZZ$1,0)),0) + IFERROR(INDEX([5]Orçamento!$C$8:$ZZ$8,1,MATCH(G$1,[5]Orçamento!$C$1:$ZZ$1,0)),0) + IFERROR(INDEX([6]Orçamento!$C$8:$ZZ$8,1,MATCH(G$1,[6]Orçamento!$C$1:$ZZ$1,0)),0) + IFERROR(INDEX([7]Orçamento!$C$8:$ZZ$8,1,MATCH(G$1,[7]Orçamento!$C$1:$ZZ$1,0)),0) + IFERROR(INDEX([8]Orçamento!$C$8:$ZZ$8,1,MATCH(G$1,[8]Orçamento!$C$1:$ZZ$1,0)),0)</f>
        <v>44516.024375000001</v>
      </c>
      <c r="H8" s="7">
        <f>IFERROR(INDEX([1]Orçamento!$C$8:$ZZ$8,1,MATCH(H$1,[1]Orçamento!$C$1:$ZZ$1,0)),0) + IFERROR(INDEX([2]Orçamento!$C$8:$ZZ$8,1,MATCH(H$1,[2]Orçamento!$C$1:$ZZ$1,0)),0) + IFERROR(INDEX([3]Orçamento!$C$8:$ZZ$8,1,MATCH(H$1,[3]Orçamento!$C$1:$ZZ$1,0)),0) + IFERROR(INDEX([4]Orçamento!$C$8:$ZZ$8,1,MATCH(H$1,[4]Orçamento!$C$1:$ZZ$1,0)),0) + IFERROR(INDEX([5]Orçamento!$C$8:$ZZ$8,1,MATCH(H$1,[5]Orçamento!$C$1:$ZZ$1,0)),0) + IFERROR(INDEX([6]Orçamento!$C$8:$ZZ$8,1,MATCH(H$1,[6]Orçamento!$C$1:$ZZ$1,0)),0) + IFERROR(INDEX([7]Orçamento!$C$8:$ZZ$8,1,MATCH(H$1,[7]Orçamento!$C$1:$ZZ$1,0)),0) + IFERROR(INDEX([8]Orçamento!$C$8:$ZZ$8,1,MATCH(H$1,[8]Orçamento!$C$1:$ZZ$1,0)),0)</f>
        <v>46649.311249999999</v>
      </c>
      <c r="I8" s="7">
        <f>IFERROR(INDEX([1]Orçamento!$C$8:$ZZ$8,1,MATCH(I$1,[1]Orçamento!$C$1:$ZZ$1,0)),0) + IFERROR(INDEX([2]Orçamento!$C$8:$ZZ$8,1,MATCH(I$1,[2]Orçamento!$C$1:$ZZ$1,0)),0) + IFERROR(INDEX([3]Orçamento!$C$8:$ZZ$8,1,MATCH(I$1,[3]Orçamento!$C$1:$ZZ$1,0)),0) + IFERROR(INDEX([4]Orçamento!$C$8:$ZZ$8,1,MATCH(I$1,[4]Orçamento!$C$1:$ZZ$1,0)),0) + IFERROR(INDEX([5]Orçamento!$C$8:$ZZ$8,1,MATCH(I$1,[5]Orçamento!$C$1:$ZZ$1,0)),0) + IFERROR(INDEX([6]Orçamento!$C$8:$ZZ$8,1,MATCH(I$1,[6]Orçamento!$C$1:$ZZ$1,0)),0) + IFERROR(INDEX([7]Orçamento!$C$8:$ZZ$8,1,MATCH(I$1,[7]Orçamento!$C$1:$ZZ$1,0)),0) + IFERROR(INDEX([8]Orçamento!$C$8:$ZZ$8,1,MATCH(I$1,[8]Orçamento!$C$1:$ZZ$1,0)),0)</f>
        <v>46649.311249999999</v>
      </c>
      <c r="J8" s="7">
        <f>IFERROR(INDEX([1]Orçamento!$C$8:$ZZ$8,1,MATCH(J$1,[1]Orçamento!$C$1:$ZZ$1,0)),0) + IFERROR(INDEX([2]Orçamento!$C$8:$ZZ$8,1,MATCH(J$1,[2]Orçamento!$C$1:$ZZ$1,0)),0) + IFERROR(INDEX([3]Orçamento!$C$8:$ZZ$8,1,MATCH(J$1,[3]Orçamento!$C$1:$ZZ$1,0)),0) + IFERROR(INDEX([4]Orçamento!$C$8:$ZZ$8,1,MATCH(J$1,[4]Orçamento!$C$1:$ZZ$1,0)),0) + IFERROR(INDEX([5]Orçamento!$C$8:$ZZ$8,1,MATCH(J$1,[5]Orçamento!$C$1:$ZZ$1,0)),0) + IFERROR(INDEX([6]Orçamento!$C$8:$ZZ$8,1,MATCH(J$1,[6]Orçamento!$C$1:$ZZ$1,0)),0) + IFERROR(INDEX([7]Orçamento!$C$8:$ZZ$8,1,MATCH(J$1,[7]Orçamento!$C$1:$ZZ$1,0)),0) + IFERROR(INDEX([8]Orçamento!$C$8:$ZZ$8,1,MATCH(J$1,[8]Orçamento!$C$1:$ZZ$1,0)),0)</f>
        <v>46649.311249999999</v>
      </c>
      <c r="K8" s="7">
        <f>IFERROR(INDEX([1]Orçamento!$C$8:$ZZ$8,1,MATCH(K$1,[1]Orçamento!$C$1:$ZZ$1,0)),0) + IFERROR(INDEX([2]Orçamento!$C$8:$ZZ$8,1,MATCH(K$1,[2]Orçamento!$C$1:$ZZ$1,0)),0) + IFERROR(INDEX([3]Orçamento!$C$8:$ZZ$8,1,MATCH(K$1,[3]Orçamento!$C$1:$ZZ$1,0)),0) + IFERROR(INDEX([4]Orçamento!$C$8:$ZZ$8,1,MATCH(K$1,[4]Orçamento!$C$1:$ZZ$1,0)),0) + IFERROR(INDEX([5]Orçamento!$C$8:$ZZ$8,1,MATCH(K$1,[5]Orçamento!$C$1:$ZZ$1,0)),0) + IFERROR(INDEX([6]Orçamento!$C$8:$ZZ$8,1,MATCH(K$1,[6]Orçamento!$C$1:$ZZ$1,0)),0) + IFERROR(INDEX([7]Orçamento!$C$8:$ZZ$8,1,MATCH(K$1,[7]Orçamento!$C$1:$ZZ$1,0)),0) + IFERROR(INDEX([8]Orçamento!$C$8:$ZZ$8,1,MATCH(K$1,[8]Orçamento!$C$1:$ZZ$1,0)),0)</f>
        <v>46649.311249999999</v>
      </c>
      <c r="L8" s="7">
        <f>IFERROR(INDEX([1]Orçamento!$C$8:$ZZ$8,1,MATCH(L$1,[1]Orçamento!$C$1:$ZZ$1,0)),0) + IFERROR(INDEX([2]Orçamento!$C$8:$ZZ$8,1,MATCH(L$1,[2]Orçamento!$C$1:$ZZ$1,0)),0) + IFERROR(INDEX([3]Orçamento!$C$8:$ZZ$8,1,MATCH(L$1,[3]Orçamento!$C$1:$ZZ$1,0)),0) + IFERROR(INDEX([4]Orçamento!$C$8:$ZZ$8,1,MATCH(L$1,[4]Orçamento!$C$1:$ZZ$1,0)),0) + IFERROR(INDEX([5]Orçamento!$C$8:$ZZ$8,1,MATCH(L$1,[5]Orçamento!$C$1:$ZZ$1,0)),0) + IFERROR(INDEX([6]Orçamento!$C$8:$ZZ$8,1,MATCH(L$1,[6]Orçamento!$C$1:$ZZ$1,0)),0) + IFERROR(INDEX([7]Orçamento!$C$8:$ZZ$8,1,MATCH(L$1,[7]Orçamento!$C$1:$ZZ$1,0)),0) + IFERROR(INDEX([8]Orçamento!$C$8:$ZZ$8,1,MATCH(L$1,[8]Orçamento!$C$1:$ZZ$1,0)),0)</f>
        <v>46949.311249999999</v>
      </c>
      <c r="M8" s="7">
        <f>IFERROR(INDEX([1]Orçamento!$C$8:$ZZ$8,1,MATCH(M$1,[1]Orçamento!$C$1:$ZZ$1,0)),0) + IFERROR(INDEX([2]Orçamento!$C$8:$ZZ$8,1,MATCH(M$1,[2]Orçamento!$C$1:$ZZ$1,0)),0) + IFERROR(INDEX([3]Orçamento!$C$8:$ZZ$8,1,MATCH(M$1,[3]Orçamento!$C$1:$ZZ$1,0)),0) + IFERROR(INDEX([4]Orçamento!$C$8:$ZZ$8,1,MATCH(M$1,[4]Orçamento!$C$1:$ZZ$1,0)),0) + IFERROR(INDEX([5]Orçamento!$C$8:$ZZ$8,1,MATCH(M$1,[5]Orçamento!$C$1:$ZZ$1,0)),0) + IFERROR(INDEX([6]Orçamento!$C$8:$ZZ$8,1,MATCH(M$1,[6]Orçamento!$C$1:$ZZ$1,0)),0) + IFERROR(INDEX([7]Orçamento!$C$8:$ZZ$8,1,MATCH(M$1,[7]Orçamento!$C$1:$ZZ$1,0)),0) + IFERROR(INDEX([8]Orçamento!$C$8:$ZZ$8,1,MATCH(M$1,[8]Orçamento!$C$1:$ZZ$1,0)),0)</f>
        <v>46949.311249999999</v>
      </c>
      <c r="N8" s="7">
        <f>IFERROR(INDEX([1]Orçamento!$C$8:$ZZ$8,1,MATCH(N$1,[1]Orçamento!$C$1:$ZZ$1,0)),0) + IFERROR(INDEX([2]Orçamento!$C$8:$ZZ$8,1,MATCH(N$1,[2]Orçamento!$C$1:$ZZ$1,0)),0) + IFERROR(INDEX([3]Orçamento!$C$8:$ZZ$8,1,MATCH(N$1,[3]Orçamento!$C$1:$ZZ$1,0)),0) + IFERROR(INDEX([4]Orçamento!$C$8:$ZZ$8,1,MATCH(N$1,[4]Orçamento!$C$1:$ZZ$1,0)),0) + IFERROR(INDEX([5]Orçamento!$C$8:$ZZ$8,1,MATCH(N$1,[5]Orçamento!$C$1:$ZZ$1,0)),0) + IFERROR(INDEX([6]Orçamento!$C$8:$ZZ$8,1,MATCH(N$1,[6]Orçamento!$C$1:$ZZ$1,0)),0) + IFERROR(INDEX([7]Orçamento!$C$8:$ZZ$8,1,MATCH(N$1,[7]Orçamento!$C$1:$ZZ$1,0)),0) + IFERROR(INDEX([8]Orçamento!$C$8:$ZZ$8,1,MATCH(N$1,[8]Orçamento!$C$1:$ZZ$1,0)),0)</f>
        <v>46949.311249999999</v>
      </c>
      <c r="O8" s="7">
        <f>IFERROR(INDEX([1]Orçamento!$C$8:$ZZ$8,1,MATCH(O$1,[1]Orçamento!$C$1:$ZZ$1,0)),0) + IFERROR(INDEX([2]Orçamento!$C$8:$ZZ$8,1,MATCH(O$1,[2]Orçamento!$C$1:$ZZ$1,0)),0) + IFERROR(INDEX([3]Orçamento!$C$8:$ZZ$8,1,MATCH(O$1,[3]Orçamento!$C$1:$ZZ$1,0)),0) + IFERROR(INDEX([4]Orçamento!$C$8:$ZZ$8,1,MATCH(O$1,[4]Orçamento!$C$1:$ZZ$1,0)),0) + IFERROR(INDEX([5]Orçamento!$C$8:$ZZ$8,1,MATCH(O$1,[5]Orçamento!$C$1:$ZZ$1,0)),0) + IFERROR(INDEX([6]Orçamento!$C$8:$ZZ$8,1,MATCH(O$1,[6]Orçamento!$C$1:$ZZ$1,0)),0) + IFERROR(INDEX([7]Orçamento!$C$8:$ZZ$8,1,MATCH(O$1,[7]Orçamento!$C$1:$ZZ$1,0)),0) + IFERROR(INDEX([8]Orçamento!$C$8:$ZZ$8,1,MATCH(O$1,[8]Orçamento!$C$1:$ZZ$1,0)),0)</f>
        <v>46949.311249999999</v>
      </c>
      <c r="P8" s="7">
        <f>IFERROR(INDEX([1]Orçamento!$C$8:$ZZ$8,1,MATCH(P$1,[1]Orçamento!$C$1:$ZZ$1,0)),0) + IFERROR(INDEX([2]Orçamento!$C$8:$ZZ$8,1,MATCH(P$1,[2]Orçamento!$C$1:$ZZ$1,0)),0) + IFERROR(INDEX([3]Orçamento!$C$8:$ZZ$8,1,MATCH(P$1,[3]Orçamento!$C$1:$ZZ$1,0)),0) + IFERROR(INDEX([4]Orçamento!$C$8:$ZZ$8,1,MATCH(P$1,[4]Orçamento!$C$1:$ZZ$1,0)),0) + IFERROR(INDEX([5]Orçamento!$C$8:$ZZ$8,1,MATCH(P$1,[5]Orçamento!$C$1:$ZZ$1,0)),0) + IFERROR(INDEX([6]Orçamento!$C$8:$ZZ$8,1,MATCH(P$1,[6]Orçamento!$C$1:$ZZ$1,0)),0) + IFERROR(INDEX([7]Orçamento!$C$8:$ZZ$8,1,MATCH(P$1,[7]Orçamento!$C$1:$ZZ$1,0)),0) + IFERROR(INDEX([8]Orçamento!$C$8:$ZZ$8,1,MATCH(P$1,[8]Orçamento!$C$1:$ZZ$1,0)),0)</f>
        <v>46949.311249999999</v>
      </c>
      <c r="Q8" s="7">
        <f>IFERROR(INDEX([1]Orçamento!$C$8:$ZZ$8,1,MATCH(Q$1,[1]Orçamento!$C$1:$ZZ$1,0)),0) + IFERROR(INDEX([2]Orçamento!$C$8:$ZZ$8,1,MATCH(Q$1,[2]Orçamento!$C$1:$ZZ$1,0)),0) + IFERROR(INDEX([3]Orçamento!$C$8:$ZZ$8,1,MATCH(Q$1,[3]Orçamento!$C$1:$ZZ$1,0)),0) + IFERROR(INDEX([4]Orçamento!$C$8:$ZZ$8,1,MATCH(Q$1,[4]Orçamento!$C$1:$ZZ$1,0)),0) + IFERROR(INDEX([5]Orçamento!$C$8:$ZZ$8,1,MATCH(Q$1,[5]Orçamento!$C$1:$ZZ$1,0)),0) + IFERROR(INDEX([6]Orçamento!$C$8:$ZZ$8,1,MATCH(Q$1,[6]Orçamento!$C$1:$ZZ$1,0)),0) + IFERROR(INDEX([7]Orçamento!$C$8:$ZZ$8,1,MATCH(Q$1,[7]Orçamento!$C$1:$ZZ$1,0)),0) + IFERROR(INDEX([8]Orçamento!$C$8:$ZZ$8,1,MATCH(Q$1,[8]Orçamento!$C$1:$ZZ$1,0)),0)</f>
        <v>46949.311249999999</v>
      </c>
      <c r="R8" s="7">
        <f>IFERROR(INDEX([1]Orçamento!$C$8:$ZZ$8,1,MATCH(R$1,[1]Orçamento!$C$1:$ZZ$1,0)),0) + IFERROR(INDEX([2]Orçamento!$C$8:$ZZ$8,1,MATCH(R$1,[2]Orçamento!$C$1:$ZZ$1,0)),0) + IFERROR(INDEX([3]Orçamento!$C$8:$ZZ$8,1,MATCH(R$1,[3]Orçamento!$C$1:$ZZ$1,0)),0) + IFERROR(INDEX([4]Orçamento!$C$8:$ZZ$8,1,MATCH(R$1,[4]Orçamento!$C$1:$ZZ$1,0)),0) + IFERROR(INDEX([5]Orçamento!$C$8:$ZZ$8,1,MATCH(R$1,[5]Orçamento!$C$1:$ZZ$1,0)),0) + IFERROR(INDEX([6]Orçamento!$C$8:$ZZ$8,1,MATCH(R$1,[6]Orçamento!$C$1:$ZZ$1,0)),0) + IFERROR(INDEX([7]Orçamento!$C$8:$ZZ$8,1,MATCH(R$1,[7]Orçamento!$C$1:$ZZ$1,0)),0) + IFERROR(INDEX([8]Orçamento!$C$8:$ZZ$8,1,MATCH(R$1,[8]Orçamento!$C$1:$ZZ$1,0)),0)</f>
        <v>46949.311249999999</v>
      </c>
      <c r="S8" s="7">
        <f>IFERROR(INDEX([1]Orçamento!$C$8:$ZZ$8,1,MATCH(S$1,[1]Orçamento!$C$1:$ZZ$1,0)),0) + IFERROR(INDEX([2]Orçamento!$C$8:$ZZ$8,1,MATCH(S$1,[2]Orçamento!$C$1:$ZZ$1,0)),0) + IFERROR(INDEX([3]Orçamento!$C$8:$ZZ$8,1,MATCH(S$1,[3]Orçamento!$C$1:$ZZ$1,0)),0) + IFERROR(INDEX([4]Orçamento!$C$8:$ZZ$8,1,MATCH(S$1,[4]Orçamento!$C$1:$ZZ$1,0)),0) + IFERROR(INDEX([5]Orçamento!$C$8:$ZZ$8,1,MATCH(S$1,[5]Orçamento!$C$1:$ZZ$1,0)),0) + IFERROR(INDEX([6]Orçamento!$C$8:$ZZ$8,1,MATCH(S$1,[6]Orçamento!$C$1:$ZZ$1,0)),0) + IFERROR(INDEX([7]Orçamento!$C$8:$ZZ$8,1,MATCH(S$1,[7]Orçamento!$C$1:$ZZ$1,0)),0) + IFERROR(INDEX([8]Orçamento!$C$8:$ZZ$8,1,MATCH(S$1,[8]Orçamento!$C$1:$ZZ$1,0)),0)</f>
        <v>46949.311249999999</v>
      </c>
      <c r="T8" s="7">
        <f>IFERROR(INDEX([1]Orçamento!$C$8:$ZZ$8,1,MATCH(T$1,[1]Orçamento!$C$1:$ZZ$1,0)),0) + IFERROR(INDEX([2]Orçamento!$C$8:$ZZ$8,1,MATCH(T$1,[2]Orçamento!$C$1:$ZZ$1,0)),0) + IFERROR(INDEX([3]Orçamento!$C$8:$ZZ$8,1,MATCH(T$1,[3]Orçamento!$C$1:$ZZ$1,0)),0) + IFERROR(INDEX([4]Orçamento!$C$8:$ZZ$8,1,MATCH(T$1,[4]Orçamento!$C$1:$ZZ$1,0)),0) + IFERROR(INDEX([5]Orçamento!$C$8:$ZZ$8,1,MATCH(T$1,[5]Orçamento!$C$1:$ZZ$1,0)),0) + IFERROR(INDEX([6]Orçamento!$C$8:$ZZ$8,1,MATCH(T$1,[6]Orçamento!$C$1:$ZZ$1,0)),0) + IFERROR(INDEX([7]Orçamento!$C$8:$ZZ$8,1,MATCH(T$1,[7]Orçamento!$C$1:$ZZ$1,0)),0) + IFERROR(INDEX([8]Orçamento!$C$8:$ZZ$8,1,MATCH(T$1,[8]Orçamento!$C$1:$ZZ$1,0)),0)</f>
        <v>0</v>
      </c>
      <c r="U8" s="7">
        <f>IFERROR(INDEX([1]Orçamento!$C$8:$ZZ$8,1,MATCH(U$1,[1]Orçamento!$C$1:$ZZ$1,0)),0) + IFERROR(INDEX([2]Orçamento!$C$8:$ZZ$8,1,MATCH(U$1,[2]Orçamento!$C$1:$ZZ$1,0)),0) + IFERROR(INDEX([3]Orçamento!$C$8:$ZZ$8,1,MATCH(U$1,[3]Orçamento!$C$1:$ZZ$1,0)),0) + IFERROR(INDEX([4]Orçamento!$C$8:$ZZ$8,1,MATCH(U$1,[4]Orçamento!$C$1:$ZZ$1,0)),0) + IFERROR(INDEX([5]Orçamento!$C$8:$ZZ$8,1,MATCH(U$1,[5]Orçamento!$C$1:$ZZ$1,0)),0) + IFERROR(INDEX([6]Orçamento!$C$8:$ZZ$8,1,MATCH(U$1,[6]Orçamento!$C$1:$ZZ$1,0)),0) + IFERROR(INDEX([7]Orçamento!$C$8:$ZZ$8,1,MATCH(U$1,[7]Orçamento!$C$1:$ZZ$1,0)),0) + IFERROR(INDEX([8]Orçamento!$C$8:$ZZ$8,1,MATCH(U$1,[8]Orçamento!$C$1:$ZZ$1,0)),0)</f>
        <v>72801.528125000012</v>
      </c>
      <c r="V8" s="7">
        <f>IFERROR(INDEX([1]Orçamento!$C$8:$ZZ$8,1,MATCH(V$1,[1]Orçamento!$C$1:$ZZ$1,0)),0) + IFERROR(INDEX([2]Orçamento!$C$8:$ZZ$8,1,MATCH(V$1,[2]Orçamento!$C$1:$ZZ$1,0)),0) + IFERROR(INDEX([3]Orçamento!$C$8:$ZZ$8,1,MATCH(V$1,[3]Orçamento!$C$1:$ZZ$1,0)),0) + IFERROR(INDEX([4]Orçamento!$C$8:$ZZ$8,1,MATCH(V$1,[4]Orçamento!$C$1:$ZZ$1,0)),0) + IFERROR(INDEX([5]Orçamento!$C$8:$ZZ$8,1,MATCH(V$1,[5]Orçamento!$C$1:$ZZ$1,0)),0) + IFERROR(INDEX([6]Orçamento!$C$8:$ZZ$8,1,MATCH(V$1,[6]Orçamento!$C$1:$ZZ$1,0)),0) + IFERROR(INDEX([7]Orçamento!$C$8:$ZZ$8,1,MATCH(V$1,[7]Orçamento!$C$1:$ZZ$1,0)),0) + IFERROR(INDEX([8]Orçamento!$C$8:$ZZ$8,1,MATCH(V$1,[8]Orçamento!$C$1:$ZZ$1,0)),0)</f>
        <v>72801.528125000012</v>
      </c>
      <c r="W8" s="7">
        <f>IFERROR(INDEX([1]Orçamento!$C$8:$ZZ$8,1,MATCH(W$1,[1]Orçamento!$C$1:$ZZ$1,0)),0) + IFERROR(INDEX([2]Orçamento!$C$8:$ZZ$8,1,MATCH(W$1,[2]Orçamento!$C$1:$ZZ$1,0)),0) + IFERROR(INDEX([3]Orçamento!$C$8:$ZZ$8,1,MATCH(W$1,[3]Orçamento!$C$1:$ZZ$1,0)),0) + IFERROR(INDEX([4]Orçamento!$C$8:$ZZ$8,1,MATCH(W$1,[4]Orçamento!$C$1:$ZZ$1,0)),0) + IFERROR(INDEX([5]Orçamento!$C$8:$ZZ$8,1,MATCH(W$1,[5]Orçamento!$C$1:$ZZ$1,0)),0) + IFERROR(INDEX([6]Orçamento!$C$8:$ZZ$8,1,MATCH(W$1,[6]Orçamento!$C$1:$ZZ$1,0)),0) + IFERROR(INDEX([7]Orçamento!$C$8:$ZZ$8,1,MATCH(W$1,[7]Orçamento!$C$1:$ZZ$1,0)),0) + IFERROR(INDEX([8]Orçamento!$C$8:$ZZ$8,1,MATCH(W$1,[8]Orçamento!$C$1:$ZZ$1,0)),0)</f>
        <v>880416.77281250001</v>
      </c>
      <c r="X8" s="7">
        <f>IFERROR(INDEX([1]Orçamento!$C$8:$ZZ$8,1,MATCH(X$1,[1]Orçamento!$C$1:$ZZ$1,0)),0) + IFERROR(INDEX([2]Orçamento!$C$8:$ZZ$8,1,MATCH(X$1,[2]Orçamento!$C$1:$ZZ$1,0)),0) + IFERROR(INDEX([3]Orçamento!$C$8:$ZZ$8,1,MATCH(X$1,[3]Orçamento!$C$1:$ZZ$1,0)),0) + IFERROR(INDEX([4]Orçamento!$C$8:$ZZ$8,1,MATCH(X$1,[4]Orçamento!$C$1:$ZZ$1,0)),0) + IFERROR(INDEX([5]Orçamento!$C$8:$ZZ$8,1,MATCH(X$1,[5]Orçamento!$C$1:$ZZ$1,0)),0) + IFERROR(INDEX([6]Orçamento!$C$8:$ZZ$8,1,MATCH(X$1,[6]Orçamento!$C$1:$ZZ$1,0)),0) + IFERROR(INDEX([7]Orçamento!$C$8:$ZZ$8,1,MATCH(X$1,[7]Orçamento!$C$1:$ZZ$1,0)),0) + IFERROR(INDEX([8]Orçamento!$C$8:$ZZ$8,1,MATCH(X$1,[8]Orçamento!$C$1:$ZZ$1,0)),0)</f>
        <v>89686.908437500009</v>
      </c>
      <c r="Y8" s="7">
        <f>IFERROR(INDEX([1]Orçamento!$C$8:$ZZ$8,1,MATCH(Y$1,[1]Orçamento!$C$1:$ZZ$1,0)),0) + IFERROR(INDEX([2]Orçamento!$C$8:$ZZ$8,1,MATCH(Y$1,[2]Orçamento!$C$1:$ZZ$1,0)),0) + IFERROR(INDEX([3]Orçamento!$C$8:$ZZ$8,1,MATCH(Y$1,[3]Orçamento!$C$1:$ZZ$1,0)),0) + IFERROR(INDEX([4]Orçamento!$C$8:$ZZ$8,1,MATCH(Y$1,[4]Orçamento!$C$1:$ZZ$1,0)),0) + IFERROR(INDEX([5]Orçamento!$C$8:$ZZ$8,1,MATCH(Y$1,[5]Orçamento!$C$1:$ZZ$1,0)),0) + IFERROR(INDEX([6]Orçamento!$C$8:$ZZ$8,1,MATCH(Y$1,[6]Orçamento!$C$1:$ZZ$1,0)),0) + IFERROR(INDEX([7]Orçamento!$C$8:$ZZ$8,1,MATCH(Y$1,[7]Orçamento!$C$1:$ZZ$1,0)),0) + IFERROR(INDEX([8]Orçamento!$C$8:$ZZ$8,1,MATCH(Y$1,[8]Orçamento!$C$1:$ZZ$1,0)),0)</f>
        <v>89834.137187500004</v>
      </c>
      <c r="Z8" s="7">
        <f>IFERROR(INDEX([1]Orçamento!$C$8:$ZZ$8,1,MATCH(Z$1,[1]Orçamento!$C$1:$ZZ$1,0)),0) + IFERROR(INDEX([2]Orçamento!$C$8:$ZZ$8,1,MATCH(Z$1,[2]Orçamento!$C$1:$ZZ$1,0)),0) + IFERROR(INDEX([3]Orçamento!$C$8:$ZZ$8,1,MATCH(Z$1,[3]Orçamento!$C$1:$ZZ$1,0)),0) + IFERROR(INDEX([4]Orçamento!$C$8:$ZZ$8,1,MATCH(Z$1,[4]Orçamento!$C$1:$ZZ$1,0)),0) + IFERROR(INDEX([5]Orçamento!$C$8:$ZZ$8,1,MATCH(Z$1,[5]Orçamento!$C$1:$ZZ$1,0)),0) + IFERROR(INDEX([6]Orçamento!$C$8:$ZZ$8,1,MATCH(Z$1,[6]Orçamento!$C$1:$ZZ$1,0)),0) + IFERROR(INDEX([7]Orçamento!$C$8:$ZZ$8,1,MATCH(Z$1,[7]Orçamento!$C$1:$ZZ$1,0)),0) + IFERROR(INDEX([8]Orçamento!$C$8:$ZZ$8,1,MATCH(Z$1,[8]Orçamento!$C$1:$ZZ$1,0)),0)</f>
        <v>91967.424062500009</v>
      </c>
      <c r="AA8" s="7">
        <f>IFERROR(INDEX([1]Orçamento!$C$8:$ZZ$8,1,MATCH(AA$1,[1]Orçamento!$C$1:$ZZ$1,0)),0) + IFERROR(INDEX([2]Orçamento!$C$8:$ZZ$8,1,MATCH(AA$1,[2]Orçamento!$C$1:$ZZ$1,0)),0) + IFERROR(INDEX([3]Orçamento!$C$8:$ZZ$8,1,MATCH(AA$1,[3]Orçamento!$C$1:$ZZ$1,0)),0) + IFERROR(INDEX([4]Orçamento!$C$8:$ZZ$8,1,MATCH(AA$1,[4]Orçamento!$C$1:$ZZ$1,0)),0) + IFERROR(INDEX([5]Orçamento!$C$8:$ZZ$8,1,MATCH(AA$1,[5]Orçamento!$C$1:$ZZ$1,0)),0) + IFERROR(INDEX([6]Orçamento!$C$8:$ZZ$8,1,MATCH(AA$1,[6]Orçamento!$C$1:$ZZ$1,0)),0) + IFERROR(INDEX([7]Orçamento!$C$8:$ZZ$8,1,MATCH(AA$1,[7]Orçamento!$C$1:$ZZ$1,0)),0) + IFERROR(INDEX([8]Orçamento!$C$8:$ZZ$8,1,MATCH(AA$1,[8]Orçamento!$C$1:$ZZ$1,0)),0)</f>
        <v>91967.424062500009</v>
      </c>
      <c r="AB8" s="7">
        <f>IFERROR(INDEX([1]Orçamento!$C$8:$ZZ$8,1,MATCH(AB$1,[1]Orçamento!$C$1:$ZZ$1,0)),0) + IFERROR(INDEX([2]Orçamento!$C$8:$ZZ$8,1,MATCH(AB$1,[2]Orçamento!$C$1:$ZZ$1,0)),0) + IFERROR(INDEX([3]Orçamento!$C$8:$ZZ$8,1,MATCH(AB$1,[3]Orçamento!$C$1:$ZZ$1,0)),0) + IFERROR(INDEX([4]Orçamento!$C$8:$ZZ$8,1,MATCH(AB$1,[4]Orçamento!$C$1:$ZZ$1,0)),0) + IFERROR(INDEX([5]Orçamento!$C$8:$ZZ$8,1,MATCH(AB$1,[5]Orçamento!$C$1:$ZZ$1,0)),0) + IFERROR(INDEX([6]Orçamento!$C$8:$ZZ$8,1,MATCH(AB$1,[6]Orçamento!$C$1:$ZZ$1,0)),0) + IFERROR(INDEX([7]Orçamento!$C$8:$ZZ$8,1,MATCH(AB$1,[7]Orçamento!$C$1:$ZZ$1,0)),0) + IFERROR(INDEX([8]Orçamento!$C$8:$ZZ$8,1,MATCH(AB$1,[8]Orçamento!$C$1:$ZZ$1,0)),0)</f>
        <v>110967.42406250001</v>
      </c>
      <c r="AC8" s="7">
        <f>IFERROR(INDEX([1]Orçamento!$C$8:$ZZ$8,1,MATCH(AC$1,[1]Orçamento!$C$1:$ZZ$1,0)),0) + IFERROR(INDEX([2]Orçamento!$C$8:$ZZ$8,1,MATCH(AC$1,[2]Orçamento!$C$1:$ZZ$1,0)),0) + IFERROR(INDEX([3]Orçamento!$C$8:$ZZ$8,1,MATCH(AC$1,[3]Orçamento!$C$1:$ZZ$1,0)),0) + IFERROR(INDEX([4]Orçamento!$C$8:$ZZ$8,1,MATCH(AC$1,[4]Orçamento!$C$1:$ZZ$1,0)),0) + IFERROR(INDEX([5]Orçamento!$C$8:$ZZ$8,1,MATCH(AC$1,[5]Orçamento!$C$1:$ZZ$1,0)),0) + IFERROR(INDEX([6]Orçamento!$C$8:$ZZ$8,1,MATCH(AC$1,[6]Orçamento!$C$1:$ZZ$1,0)),0) + IFERROR(INDEX([7]Orçamento!$C$8:$ZZ$8,1,MATCH(AC$1,[7]Orçamento!$C$1:$ZZ$1,0)),0) + IFERROR(INDEX([8]Orçamento!$C$8:$ZZ$8,1,MATCH(AC$1,[8]Orçamento!$C$1:$ZZ$1,0)),0)</f>
        <v>110967.42406250001</v>
      </c>
      <c r="AD8" s="7">
        <f>IFERROR(INDEX([1]Orçamento!$C$8:$ZZ$8,1,MATCH(AD$1,[1]Orçamento!$C$1:$ZZ$1,0)),0) + IFERROR(INDEX([2]Orçamento!$C$8:$ZZ$8,1,MATCH(AD$1,[2]Orçamento!$C$1:$ZZ$1,0)),0) + IFERROR(INDEX([3]Orçamento!$C$8:$ZZ$8,1,MATCH(AD$1,[3]Orçamento!$C$1:$ZZ$1,0)),0) + IFERROR(INDEX([4]Orçamento!$C$8:$ZZ$8,1,MATCH(AD$1,[4]Orçamento!$C$1:$ZZ$1,0)),0) + IFERROR(INDEX([5]Orçamento!$C$8:$ZZ$8,1,MATCH(AD$1,[5]Orçamento!$C$1:$ZZ$1,0)),0) + IFERROR(INDEX([6]Orçamento!$C$8:$ZZ$8,1,MATCH(AD$1,[6]Orçamento!$C$1:$ZZ$1,0)),0) + IFERROR(INDEX([7]Orçamento!$C$8:$ZZ$8,1,MATCH(AD$1,[7]Orçamento!$C$1:$ZZ$1,0)),0) + IFERROR(INDEX([8]Orçamento!$C$8:$ZZ$8,1,MATCH(AD$1,[8]Orçamento!$C$1:$ZZ$1,0)),0)</f>
        <v>913173.08406250004</v>
      </c>
      <c r="AE8" s="7">
        <f>IFERROR(INDEX([1]Orçamento!$C$8:$ZZ$8,1,MATCH(AE$1,[1]Orçamento!$C$1:$ZZ$1,0)),0) + IFERROR(INDEX([2]Orçamento!$C$8:$ZZ$8,1,MATCH(AE$1,[2]Orçamento!$C$1:$ZZ$1,0)),0) + IFERROR(INDEX([3]Orçamento!$C$8:$ZZ$8,1,MATCH(AE$1,[3]Orçamento!$C$1:$ZZ$1,0)),0) + IFERROR(INDEX([4]Orçamento!$C$8:$ZZ$8,1,MATCH(AE$1,[4]Orçamento!$C$1:$ZZ$1,0)),0) + IFERROR(INDEX([5]Orçamento!$C$8:$ZZ$8,1,MATCH(AE$1,[5]Orçamento!$C$1:$ZZ$1,0)),0) + IFERROR(INDEX([6]Orçamento!$C$8:$ZZ$8,1,MATCH(AE$1,[6]Orçamento!$C$1:$ZZ$1,0)),0) + IFERROR(INDEX([7]Orçamento!$C$8:$ZZ$8,1,MATCH(AE$1,[7]Orçamento!$C$1:$ZZ$1,0)),0) + IFERROR(INDEX([8]Orçamento!$C$8:$ZZ$8,1,MATCH(AE$1,[8]Orçamento!$C$1:$ZZ$1,0)),0)</f>
        <v>122443.21968750001</v>
      </c>
      <c r="AF8" s="7">
        <f>IFERROR(INDEX([1]Orçamento!$C$8:$ZZ$8,1,MATCH(AF$1,[1]Orçamento!$C$1:$ZZ$1,0)),0) + IFERROR(INDEX([2]Orçamento!$C$8:$ZZ$8,1,MATCH(AF$1,[2]Orçamento!$C$1:$ZZ$1,0)),0) + IFERROR(INDEX([3]Orçamento!$C$8:$ZZ$8,1,MATCH(AF$1,[3]Orçamento!$C$1:$ZZ$1,0)),0) + IFERROR(INDEX([4]Orçamento!$C$8:$ZZ$8,1,MATCH(AF$1,[4]Orçamento!$C$1:$ZZ$1,0)),0) + IFERROR(INDEX([5]Orçamento!$C$8:$ZZ$8,1,MATCH(AF$1,[5]Orçamento!$C$1:$ZZ$1,0)),0) + IFERROR(INDEX([6]Orçamento!$C$8:$ZZ$8,1,MATCH(AF$1,[6]Orçamento!$C$1:$ZZ$1,0)),0) + IFERROR(INDEX([7]Orçamento!$C$8:$ZZ$8,1,MATCH(AF$1,[7]Orçamento!$C$1:$ZZ$1,0)),0) + IFERROR(INDEX([8]Orçamento!$C$8:$ZZ$8,1,MATCH(AF$1,[8]Orçamento!$C$1:$ZZ$1,0)),0)</f>
        <v>122590.44843750002</v>
      </c>
      <c r="AG8" s="7">
        <f>IFERROR(INDEX([1]Orçamento!$C$8:$ZZ$8,1,MATCH(AG$1,[1]Orçamento!$C$1:$ZZ$1,0)),0) + IFERROR(INDEX([2]Orçamento!$C$8:$ZZ$8,1,MATCH(AG$1,[2]Orçamento!$C$1:$ZZ$1,0)),0) + IFERROR(INDEX([3]Orçamento!$C$8:$ZZ$8,1,MATCH(AG$1,[3]Orçamento!$C$1:$ZZ$1,0)),0) + IFERROR(INDEX([4]Orçamento!$C$8:$ZZ$8,1,MATCH(AG$1,[4]Orçamento!$C$1:$ZZ$1,0)),0) + IFERROR(INDEX([5]Orçamento!$C$8:$ZZ$8,1,MATCH(AG$1,[5]Orçamento!$C$1:$ZZ$1,0)),0) + IFERROR(INDEX([6]Orçamento!$C$8:$ZZ$8,1,MATCH(AG$1,[6]Orçamento!$C$1:$ZZ$1,0)),0) + IFERROR(INDEX([7]Orçamento!$C$8:$ZZ$8,1,MATCH(AG$1,[7]Orçamento!$C$1:$ZZ$1,0)),0) + IFERROR(INDEX([8]Orçamento!$C$8:$ZZ$8,1,MATCH(AG$1,[8]Orçamento!$C$1:$ZZ$1,0)),0)</f>
        <v>0</v>
      </c>
      <c r="AH8" s="7">
        <f>IFERROR(INDEX([1]Orçamento!$C$8:$ZZ$8,1,MATCH(AH$1,[1]Orçamento!$C$1:$ZZ$1,0)),0) + IFERROR(INDEX([2]Orçamento!$C$8:$ZZ$8,1,MATCH(AH$1,[2]Orçamento!$C$1:$ZZ$1,0)),0) + IFERROR(INDEX([3]Orçamento!$C$8:$ZZ$8,1,MATCH(AH$1,[3]Orçamento!$C$1:$ZZ$1,0)),0) + IFERROR(INDEX([4]Orçamento!$C$8:$ZZ$8,1,MATCH(AH$1,[4]Orçamento!$C$1:$ZZ$1,0)),0) + IFERROR(INDEX([5]Orçamento!$C$8:$ZZ$8,1,MATCH(AH$1,[5]Orçamento!$C$1:$ZZ$1,0)),0) + IFERROR(INDEX([6]Orçamento!$C$8:$ZZ$8,1,MATCH(AH$1,[6]Orçamento!$C$1:$ZZ$1,0)),0) + IFERROR(INDEX([7]Orçamento!$C$8:$ZZ$8,1,MATCH(AH$1,[7]Orçamento!$C$1:$ZZ$1,0)),0) + IFERROR(INDEX([8]Orçamento!$C$8:$ZZ$8,1,MATCH(AH$1,[8]Orçamento!$C$1:$ZZ$1,0)),0)</f>
        <v>161290.429875</v>
      </c>
      <c r="AI8" s="7">
        <f>IFERROR(INDEX([1]Orçamento!$C$8:$ZZ$8,1,MATCH(AI$1,[1]Orçamento!$C$1:$ZZ$1,0)),0) + IFERROR(INDEX([2]Orçamento!$C$8:$ZZ$8,1,MATCH(AI$1,[2]Orçamento!$C$1:$ZZ$1,0)),0) + IFERROR(INDEX([3]Orçamento!$C$8:$ZZ$8,1,MATCH(AI$1,[3]Orçamento!$C$1:$ZZ$1,0)),0) + IFERROR(INDEX([4]Orçamento!$C$8:$ZZ$8,1,MATCH(AI$1,[4]Orçamento!$C$1:$ZZ$1,0)),0) + IFERROR(INDEX([5]Orçamento!$C$8:$ZZ$8,1,MATCH(AI$1,[5]Orçamento!$C$1:$ZZ$1,0)),0) + IFERROR(INDEX([6]Orçamento!$C$8:$ZZ$8,1,MATCH(AI$1,[6]Orçamento!$C$1:$ZZ$1,0)),0) + IFERROR(INDEX([7]Orçamento!$C$8:$ZZ$8,1,MATCH(AI$1,[7]Orçamento!$C$1:$ZZ$1,0)),0) + IFERROR(INDEX([8]Orçamento!$C$8:$ZZ$8,1,MATCH(AI$1,[8]Orçamento!$C$1:$ZZ$1,0)),0)</f>
        <v>161290.429875</v>
      </c>
      <c r="AJ8" s="7">
        <f>IFERROR(INDEX([1]Orçamento!$C$8:$ZZ$8,1,MATCH(AJ$1,[1]Orçamento!$C$1:$ZZ$1,0)),0) + IFERROR(INDEX([2]Orçamento!$C$8:$ZZ$8,1,MATCH(AJ$1,[2]Orçamento!$C$1:$ZZ$1,0)),0) + IFERROR(INDEX([3]Orçamento!$C$8:$ZZ$8,1,MATCH(AJ$1,[3]Orçamento!$C$1:$ZZ$1,0)),0) + IFERROR(INDEX([4]Orçamento!$C$8:$ZZ$8,1,MATCH(AJ$1,[4]Orçamento!$C$1:$ZZ$1,0)),0) + IFERROR(INDEX([5]Orçamento!$C$8:$ZZ$8,1,MATCH(AJ$1,[5]Orçamento!$C$1:$ZZ$1,0)),0) + IFERROR(INDEX([6]Orçamento!$C$8:$ZZ$8,1,MATCH(AJ$1,[6]Orçamento!$C$1:$ZZ$1,0)),0) + IFERROR(INDEX([7]Orçamento!$C$8:$ZZ$8,1,MATCH(AJ$1,[7]Orçamento!$C$1:$ZZ$1,0)),0) + IFERROR(INDEX([8]Orçamento!$C$8:$ZZ$8,1,MATCH(AJ$1,[8]Orçamento!$C$1:$ZZ$1,0)),0)</f>
        <v>968905.67456250009</v>
      </c>
      <c r="AK8" s="7">
        <f>IFERROR(INDEX([1]Orçamento!$C$8:$ZZ$8,1,MATCH(AK$1,[1]Orçamento!$C$1:$ZZ$1,0)),0) + IFERROR(INDEX([2]Orçamento!$C$8:$ZZ$8,1,MATCH(AK$1,[2]Orçamento!$C$1:$ZZ$1,0)),0) + IFERROR(INDEX([3]Orçamento!$C$8:$ZZ$8,1,MATCH(AK$1,[3]Orçamento!$C$1:$ZZ$1,0)),0) + IFERROR(INDEX([4]Orçamento!$C$8:$ZZ$8,1,MATCH(AK$1,[4]Orçamento!$C$1:$ZZ$1,0)),0) + IFERROR(INDEX([5]Orçamento!$C$8:$ZZ$8,1,MATCH(AK$1,[5]Orçamento!$C$1:$ZZ$1,0)),0) + IFERROR(INDEX([6]Orçamento!$C$8:$ZZ$8,1,MATCH(AK$1,[6]Orçamento!$C$1:$ZZ$1,0)),0) + IFERROR(INDEX([7]Orçamento!$C$8:$ZZ$8,1,MATCH(AK$1,[7]Orçamento!$C$1:$ZZ$1,0)),0) + IFERROR(INDEX([8]Orçamento!$C$8:$ZZ$8,1,MATCH(AK$1,[8]Orçamento!$C$1:$ZZ$1,0)),0)</f>
        <v>178175.8101875</v>
      </c>
      <c r="AL8" s="7">
        <f>IFERROR(INDEX([1]Orçamento!$C$8:$ZZ$8,1,MATCH(AL$1,[1]Orçamento!$C$1:$ZZ$1,0)),0) + IFERROR(INDEX([2]Orçamento!$C$8:$ZZ$8,1,MATCH(AL$1,[2]Orçamento!$C$1:$ZZ$1,0)),0) + IFERROR(INDEX([3]Orçamento!$C$8:$ZZ$8,1,MATCH(AL$1,[3]Orçamento!$C$1:$ZZ$1,0)),0) + IFERROR(INDEX([4]Orçamento!$C$8:$ZZ$8,1,MATCH(AL$1,[4]Orçamento!$C$1:$ZZ$1,0)),0) + IFERROR(INDEX([5]Orçamento!$C$8:$ZZ$8,1,MATCH(AL$1,[5]Orçamento!$C$1:$ZZ$1,0)),0) + IFERROR(INDEX([6]Orçamento!$C$8:$ZZ$8,1,MATCH(AL$1,[6]Orçamento!$C$1:$ZZ$1,0)),0) + IFERROR(INDEX([7]Orçamento!$C$8:$ZZ$8,1,MATCH(AL$1,[7]Orçamento!$C$1:$ZZ$1,0)),0) + IFERROR(INDEX([8]Orçamento!$C$8:$ZZ$8,1,MATCH(AL$1,[8]Orçamento!$C$1:$ZZ$1,0)),0)</f>
        <v>178623.03893750001</v>
      </c>
      <c r="AM8" s="7">
        <f>IFERROR(INDEX([1]Orçamento!$C$8:$ZZ$8,1,MATCH(AM$1,[1]Orçamento!$C$1:$ZZ$1,0)),0) + IFERROR(INDEX([2]Orçamento!$C$8:$ZZ$8,1,MATCH(AM$1,[2]Orçamento!$C$1:$ZZ$1,0)),0) + IFERROR(INDEX([3]Orçamento!$C$8:$ZZ$8,1,MATCH(AM$1,[3]Orçamento!$C$1:$ZZ$1,0)),0) + IFERROR(INDEX([4]Orçamento!$C$8:$ZZ$8,1,MATCH(AM$1,[4]Orçamento!$C$1:$ZZ$1,0)),0) + IFERROR(INDEX([5]Orçamento!$C$8:$ZZ$8,1,MATCH(AM$1,[5]Orçamento!$C$1:$ZZ$1,0)),0) + IFERROR(INDEX([6]Orçamento!$C$8:$ZZ$8,1,MATCH(AM$1,[6]Orçamento!$C$1:$ZZ$1,0)),0) + IFERROR(INDEX([7]Orçamento!$C$8:$ZZ$8,1,MATCH(AM$1,[7]Orçamento!$C$1:$ZZ$1,0)),0) + IFERROR(INDEX([8]Orçamento!$C$8:$ZZ$8,1,MATCH(AM$1,[8]Orçamento!$C$1:$ZZ$1,0)),0)</f>
        <v>180756.3258125</v>
      </c>
      <c r="AN8" s="7">
        <f>IFERROR(INDEX([1]Orçamento!$C$8:$ZZ$8,1,MATCH(AN$1,[1]Orçamento!$C$1:$ZZ$1,0)),0) + IFERROR(INDEX([2]Orçamento!$C$8:$ZZ$8,1,MATCH(AN$1,[2]Orçamento!$C$1:$ZZ$1,0)),0) + IFERROR(INDEX([3]Orçamento!$C$8:$ZZ$8,1,MATCH(AN$1,[3]Orçamento!$C$1:$ZZ$1,0)),0) + IFERROR(INDEX([4]Orçamento!$C$8:$ZZ$8,1,MATCH(AN$1,[4]Orçamento!$C$1:$ZZ$1,0)),0) + IFERROR(INDEX([5]Orçamento!$C$8:$ZZ$8,1,MATCH(AN$1,[5]Orçamento!$C$1:$ZZ$1,0)),0) + IFERROR(INDEX([6]Orçamento!$C$8:$ZZ$8,1,MATCH(AN$1,[6]Orçamento!$C$1:$ZZ$1,0)),0) + IFERROR(INDEX([7]Orçamento!$C$8:$ZZ$8,1,MATCH(AN$1,[7]Orçamento!$C$1:$ZZ$1,0)),0) + IFERROR(INDEX([8]Orçamento!$C$8:$ZZ$8,1,MATCH(AN$1,[8]Orçamento!$C$1:$ZZ$1,0)),0)</f>
        <v>180756.3258125</v>
      </c>
      <c r="AO8" s="7">
        <f>IFERROR(INDEX([1]Orçamento!$C$8:$ZZ$8,1,MATCH(AO$1,[1]Orçamento!$C$1:$ZZ$1,0)),0) + IFERROR(INDEX([2]Orçamento!$C$8:$ZZ$8,1,MATCH(AO$1,[2]Orçamento!$C$1:$ZZ$1,0)),0) + IFERROR(INDEX([3]Orçamento!$C$8:$ZZ$8,1,MATCH(AO$1,[3]Orçamento!$C$1:$ZZ$1,0)),0) + IFERROR(INDEX([4]Orçamento!$C$8:$ZZ$8,1,MATCH(AO$1,[4]Orçamento!$C$1:$ZZ$1,0)),0) + IFERROR(INDEX([5]Orçamento!$C$8:$ZZ$8,1,MATCH(AO$1,[5]Orçamento!$C$1:$ZZ$1,0)),0) + IFERROR(INDEX([6]Orçamento!$C$8:$ZZ$8,1,MATCH(AO$1,[6]Orçamento!$C$1:$ZZ$1,0)),0) + IFERROR(INDEX([7]Orçamento!$C$8:$ZZ$8,1,MATCH(AO$1,[7]Orçamento!$C$1:$ZZ$1,0)),0) + IFERROR(INDEX([8]Orçamento!$C$8:$ZZ$8,1,MATCH(AO$1,[8]Orçamento!$C$1:$ZZ$1,0)),0)</f>
        <v>199756.3258125</v>
      </c>
      <c r="AP8" s="7">
        <f>IFERROR(INDEX([1]Orçamento!$C$8:$ZZ$8,1,MATCH(AP$1,[1]Orçamento!$C$1:$ZZ$1,0)),0) + IFERROR(INDEX([2]Orçamento!$C$8:$ZZ$8,1,MATCH(AP$1,[2]Orçamento!$C$1:$ZZ$1,0)),0) + IFERROR(INDEX([3]Orçamento!$C$8:$ZZ$8,1,MATCH(AP$1,[3]Orçamento!$C$1:$ZZ$1,0)),0) + IFERROR(INDEX([4]Orçamento!$C$8:$ZZ$8,1,MATCH(AP$1,[4]Orçamento!$C$1:$ZZ$1,0)),0) + IFERROR(INDEX([5]Orçamento!$C$8:$ZZ$8,1,MATCH(AP$1,[5]Orçamento!$C$1:$ZZ$1,0)),0) + IFERROR(INDEX([6]Orçamento!$C$8:$ZZ$8,1,MATCH(AP$1,[6]Orçamento!$C$1:$ZZ$1,0)),0) + IFERROR(INDEX([7]Orçamento!$C$8:$ZZ$8,1,MATCH(AP$1,[7]Orçamento!$C$1:$ZZ$1,0)),0) + IFERROR(INDEX([8]Orçamento!$C$8:$ZZ$8,1,MATCH(AP$1,[8]Orçamento!$C$1:$ZZ$1,0)),0)</f>
        <v>199756.3258125</v>
      </c>
      <c r="AQ8" s="7">
        <f>IFERROR(INDEX([1]Orçamento!$C$8:$ZZ$8,1,MATCH(AQ$1,[1]Orçamento!$C$1:$ZZ$1,0)),0) + IFERROR(INDEX([2]Orçamento!$C$8:$ZZ$8,1,MATCH(AQ$1,[2]Orçamento!$C$1:$ZZ$1,0)),0) + IFERROR(INDEX([3]Orçamento!$C$8:$ZZ$8,1,MATCH(AQ$1,[3]Orçamento!$C$1:$ZZ$1,0)),0) + IFERROR(INDEX([4]Orçamento!$C$8:$ZZ$8,1,MATCH(AQ$1,[4]Orçamento!$C$1:$ZZ$1,0)),0) + IFERROR(INDEX([5]Orçamento!$C$8:$ZZ$8,1,MATCH(AQ$1,[5]Orçamento!$C$1:$ZZ$1,0)),0) + IFERROR(INDEX([6]Orçamento!$C$8:$ZZ$8,1,MATCH(AQ$1,[6]Orçamento!$C$1:$ZZ$1,0)),0) + IFERROR(INDEX([7]Orçamento!$C$8:$ZZ$8,1,MATCH(AQ$1,[7]Orçamento!$C$1:$ZZ$1,0)),0) + IFERROR(INDEX([8]Orçamento!$C$8:$ZZ$8,1,MATCH(AQ$1,[8]Orçamento!$C$1:$ZZ$1,0)),0)</f>
        <v>1001961.9858125</v>
      </c>
      <c r="AR8" s="7">
        <f>IFERROR(INDEX([1]Orçamento!$C$8:$ZZ$8,1,MATCH(AR$1,[1]Orçamento!$C$1:$ZZ$1,0)),0) + IFERROR(INDEX([2]Orçamento!$C$8:$ZZ$8,1,MATCH(AR$1,[2]Orçamento!$C$1:$ZZ$1,0)),0) + IFERROR(INDEX([3]Orçamento!$C$8:$ZZ$8,1,MATCH(AR$1,[3]Orçamento!$C$1:$ZZ$1,0)),0) + IFERROR(INDEX([4]Orçamento!$C$8:$ZZ$8,1,MATCH(AR$1,[4]Orçamento!$C$1:$ZZ$1,0)),0) + IFERROR(INDEX([5]Orçamento!$C$8:$ZZ$8,1,MATCH(AR$1,[5]Orçamento!$C$1:$ZZ$1,0)),0) + IFERROR(INDEX([6]Orçamento!$C$8:$ZZ$8,1,MATCH(AR$1,[6]Orçamento!$C$1:$ZZ$1,0)),0) + IFERROR(INDEX([7]Orçamento!$C$8:$ZZ$8,1,MATCH(AR$1,[7]Orçamento!$C$1:$ZZ$1,0)),0) + IFERROR(INDEX([8]Orçamento!$C$8:$ZZ$8,1,MATCH(AR$1,[8]Orçamento!$C$1:$ZZ$1,0)),0)</f>
        <v>211232.1214375</v>
      </c>
      <c r="AS8" s="7">
        <f>IFERROR(INDEX([1]Orçamento!$C$8:$ZZ$8,1,MATCH(AS$1,[1]Orçamento!$C$1:$ZZ$1,0)),0) + IFERROR(INDEX([2]Orçamento!$C$8:$ZZ$8,1,MATCH(AS$1,[2]Orçamento!$C$1:$ZZ$1,0)),0) + IFERROR(INDEX([3]Orçamento!$C$8:$ZZ$8,1,MATCH(AS$1,[3]Orçamento!$C$1:$ZZ$1,0)),0) + IFERROR(INDEX([4]Orçamento!$C$8:$ZZ$8,1,MATCH(AS$1,[4]Orçamento!$C$1:$ZZ$1,0)),0) + IFERROR(INDEX([5]Orçamento!$C$8:$ZZ$8,1,MATCH(AS$1,[5]Orçamento!$C$1:$ZZ$1,0)),0) + IFERROR(INDEX([6]Orçamento!$C$8:$ZZ$8,1,MATCH(AS$1,[6]Orçamento!$C$1:$ZZ$1,0)),0) + IFERROR(INDEX([7]Orçamento!$C$8:$ZZ$8,1,MATCH(AS$1,[7]Orçamento!$C$1:$ZZ$1,0)),0) + IFERROR(INDEX([8]Orçamento!$C$8:$ZZ$8,1,MATCH(AS$1,[8]Orçamento!$C$1:$ZZ$1,0)),0)</f>
        <v>211379.35018750001</v>
      </c>
      <c r="AT8" s="7">
        <f>IFERROR(INDEX([1]Orçamento!$C$8:$ZZ$8,1,MATCH(AT$1,[1]Orçamento!$C$1:$ZZ$1,0)),0) + IFERROR(INDEX([2]Orçamento!$C$8:$ZZ$8,1,MATCH(AT$1,[2]Orçamento!$C$1:$ZZ$1,0)),0) + IFERROR(INDEX([3]Orçamento!$C$8:$ZZ$8,1,MATCH(AT$1,[3]Orçamento!$C$1:$ZZ$1,0)),0) + IFERROR(INDEX([4]Orçamento!$C$8:$ZZ$8,1,MATCH(AT$1,[4]Orçamento!$C$1:$ZZ$1,0)),0) + IFERROR(INDEX([5]Orçamento!$C$8:$ZZ$8,1,MATCH(AT$1,[5]Orçamento!$C$1:$ZZ$1,0)),0) + IFERROR(INDEX([6]Orçamento!$C$8:$ZZ$8,1,MATCH(AT$1,[6]Orçamento!$C$1:$ZZ$1,0)),0) + IFERROR(INDEX([7]Orçamento!$C$8:$ZZ$8,1,MATCH(AT$1,[7]Orçamento!$C$1:$ZZ$1,0)),0) + IFERROR(INDEX([8]Orçamento!$C$8:$ZZ$8,1,MATCH(AT$1,[8]Orçamento!$C$1:$ZZ$1,0)),0)</f>
        <v>0</v>
      </c>
      <c r="AU8" s="7">
        <f>IFERROR(INDEX([1]Orçamento!$C$8:$ZZ$8,1,MATCH(AU$1,[1]Orçamento!$C$1:$ZZ$1,0)),0) + IFERROR(INDEX([2]Orçamento!$C$8:$ZZ$8,1,MATCH(AU$1,[2]Orçamento!$C$1:$ZZ$1,0)),0) + IFERROR(INDEX([3]Orçamento!$C$8:$ZZ$8,1,MATCH(AU$1,[3]Orçamento!$C$1:$ZZ$1,0)),0) + IFERROR(INDEX([4]Orçamento!$C$8:$ZZ$8,1,MATCH(AU$1,[4]Orçamento!$C$1:$ZZ$1,0)),0) + IFERROR(INDEX([5]Orçamento!$C$8:$ZZ$8,1,MATCH(AU$1,[5]Orçamento!$C$1:$ZZ$1,0)),0) + IFERROR(INDEX([6]Orçamento!$C$8:$ZZ$8,1,MATCH(AU$1,[6]Orçamento!$C$1:$ZZ$1,0)),0) + IFERROR(INDEX([7]Orçamento!$C$8:$ZZ$8,1,MATCH(AU$1,[7]Orçamento!$C$1:$ZZ$1,0)),0) + IFERROR(INDEX([8]Orçamento!$C$8:$ZZ$8,1,MATCH(AU$1,[8]Orçamento!$C$1:$ZZ$1,0)),0)</f>
        <v>263606.94662499998</v>
      </c>
      <c r="AV8" s="7">
        <f>IFERROR(INDEX([1]Orçamento!$C$8:$ZZ$8,1,MATCH(AV$1,[1]Orçamento!$C$1:$ZZ$1,0)),0) + IFERROR(INDEX([2]Orçamento!$C$8:$ZZ$8,1,MATCH(AV$1,[2]Orçamento!$C$1:$ZZ$1,0)),0) + IFERROR(INDEX([3]Orçamento!$C$8:$ZZ$8,1,MATCH(AV$1,[3]Orçamento!$C$1:$ZZ$1,0)),0) + IFERROR(INDEX([4]Orçamento!$C$8:$ZZ$8,1,MATCH(AV$1,[4]Orçamento!$C$1:$ZZ$1,0)),0) + IFERROR(INDEX([5]Orçamento!$C$8:$ZZ$8,1,MATCH(AV$1,[5]Orçamento!$C$1:$ZZ$1,0)),0) + IFERROR(INDEX([6]Orçamento!$C$8:$ZZ$8,1,MATCH(AV$1,[6]Orçamento!$C$1:$ZZ$1,0)),0) + IFERROR(INDEX([7]Orçamento!$C$8:$ZZ$8,1,MATCH(AV$1,[7]Orçamento!$C$1:$ZZ$1,0)),0) + IFERROR(INDEX([8]Orçamento!$C$8:$ZZ$8,1,MATCH(AV$1,[8]Orçamento!$C$1:$ZZ$1,0)),0)</f>
        <v>263606.94662499998</v>
      </c>
      <c r="AW8" s="7">
        <f>IFERROR(INDEX([1]Orçamento!$C$8:$ZZ$8,1,MATCH(AW$1,[1]Orçamento!$C$1:$ZZ$1,0)),0) + IFERROR(INDEX([2]Orçamento!$C$8:$ZZ$8,1,MATCH(AW$1,[2]Orçamento!$C$1:$ZZ$1,0)),0) + IFERROR(INDEX([3]Orçamento!$C$8:$ZZ$8,1,MATCH(AW$1,[3]Orçamento!$C$1:$ZZ$1,0)),0) + IFERROR(INDEX([4]Orçamento!$C$8:$ZZ$8,1,MATCH(AW$1,[4]Orçamento!$C$1:$ZZ$1,0)),0) + IFERROR(INDEX([5]Orçamento!$C$8:$ZZ$8,1,MATCH(AW$1,[5]Orçamento!$C$1:$ZZ$1,0)),0) + IFERROR(INDEX([6]Orçamento!$C$8:$ZZ$8,1,MATCH(AW$1,[6]Orçamento!$C$1:$ZZ$1,0)),0) + IFERROR(INDEX([7]Orçamento!$C$8:$ZZ$8,1,MATCH(AW$1,[7]Orçamento!$C$1:$ZZ$1,0)),0) + IFERROR(INDEX([8]Orçamento!$C$8:$ZZ$8,1,MATCH(AW$1,[8]Orçamento!$C$1:$ZZ$1,0)),0)</f>
        <v>1076931.7760000001</v>
      </c>
      <c r="AX8" s="7">
        <f>IFERROR(INDEX([1]Orçamento!$C$8:$ZZ$8,1,MATCH(AX$1,[1]Orçamento!$C$1:$ZZ$1,0)),0) + IFERROR(INDEX([2]Orçamento!$C$8:$ZZ$8,1,MATCH(AX$1,[2]Orçamento!$C$1:$ZZ$1,0)),0) + IFERROR(INDEX([3]Orçamento!$C$8:$ZZ$8,1,MATCH(AX$1,[3]Orçamento!$C$1:$ZZ$1,0)),0) + IFERROR(INDEX([4]Orçamento!$C$8:$ZZ$8,1,MATCH(AX$1,[4]Orçamento!$C$1:$ZZ$1,0)),0) + IFERROR(INDEX([5]Orçamento!$C$8:$ZZ$8,1,MATCH(AX$1,[5]Orçamento!$C$1:$ZZ$1,0)),0) + IFERROR(INDEX([6]Orçamento!$C$8:$ZZ$8,1,MATCH(AX$1,[6]Orçamento!$C$1:$ZZ$1,0)),0) + IFERROR(INDEX([7]Orçamento!$C$8:$ZZ$8,1,MATCH(AX$1,[7]Orçamento!$C$1:$ZZ$1,0)),0) + IFERROR(INDEX([8]Orçamento!$C$8:$ZZ$8,1,MATCH(AX$1,[8]Orçamento!$C$1:$ZZ$1,0)),0)</f>
        <v>286201.91162500001</v>
      </c>
      <c r="AY8" s="7">
        <f>IFERROR(INDEX([1]Orçamento!$C$8:$ZZ$8,1,MATCH(AY$1,[1]Orçamento!$C$1:$ZZ$1,0)),0) + IFERROR(INDEX([2]Orçamento!$C$8:$ZZ$8,1,MATCH(AY$1,[2]Orçamento!$C$1:$ZZ$1,0)),0) + IFERROR(INDEX([3]Orçamento!$C$8:$ZZ$8,1,MATCH(AY$1,[3]Orçamento!$C$1:$ZZ$1,0)),0) + IFERROR(INDEX([4]Orçamento!$C$8:$ZZ$8,1,MATCH(AY$1,[4]Orçamento!$C$1:$ZZ$1,0)),0) + IFERROR(INDEX([5]Orçamento!$C$8:$ZZ$8,1,MATCH(AY$1,[5]Orçamento!$C$1:$ZZ$1,0)),0) + IFERROR(INDEX([6]Orçamento!$C$8:$ZZ$8,1,MATCH(AY$1,[6]Orçamento!$C$1:$ZZ$1,0)),0) + IFERROR(INDEX([7]Orçamento!$C$8:$ZZ$8,1,MATCH(AY$1,[7]Orçamento!$C$1:$ZZ$1,0)),0) + IFERROR(INDEX([8]Orçamento!$C$8:$ZZ$8,1,MATCH(AY$1,[8]Orçamento!$C$1:$ZZ$1,0)),0)</f>
        <v>286649.14037500002</v>
      </c>
      <c r="AZ8" s="7">
        <f>IFERROR(INDEX([1]Orçamento!$C$8:$ZZ$8,1,MATCH(AZ$1,[1]Orçamento!$C$1:$ZZ$1,0)),0) + IFERROR(INDEX([2]Orçamento!$C$8:$ZZ$8,1,MATCH(AZ$1,[2]Orçamento!$C$1:$ZZ$1,0)),0) + IFERROR(INDEX([3]Orçamento!$C$8:$ZZ$8,1,MATCH(AZ$1,[3]Orçamento!$C$1:$ZZ$1,0)),0) + IFERROR(INDEX([4]Orçamento!$C$8:$ZZ$8,1,MATCH(AZ$1,[4]Orçamento!$C$1:$ZZ$1,0)),0) + IFERROR(INDEX([5]Orçamento!$C$8:$ZZ$8,1,MATCH(AZ$1,[5]Orçamento!$C$1:$ZZ$1,0)),0) + IFERROR(INDEX([6]Orçamento!$C$8:$ZZ$8,1,MATCH(AZ$1,[6]Orçamento!$C$1:$ZZ$1,0)),0) + IFERROR(INDEX([7]Orçamento!$C$8:$ZZ$8,1,MATCH(AZ$1,[7]Orçamento!$C$1:$ZZ$1,0)),0) + IFERROR(INDEX([8]Orçamento!$C$8:$ZZ$8,1,MATCH(AZ$1,[8]Orçamento!$C$1:$ZZ$1,0)),0)</f>
        <v>288782.42725000001</v>
      </c>
      <c r="BA8" s="7">
        <f>IFERROR(INDEX([1]Orçamento!$C$8:$ZZ$8,1,MATCH(BA$1,[1]Orçamento!$C$1:$ZZ$1,0)),0) + IFERROR(INDEX([2]Orçamento!$C$8:$ZZ$8,1,MATCH(BA$1,[2]Orçamento!$C$1:$ZZ$1,0)),0) + IFERROR(INDEX([3]Orçamento!$C$8:$ZZ$8,1,MATCH(BA$1,[3]Orçamento!$C$1:$ZZ$1,0)),0) + IFERROR(INDEX([4]Orçamento!$C$8:$ZZ$8,1,MATCH(BA$1,[4]Orçamento!$C$1:$ZZ$1,0)),0) + IFERROR(INDEX([5]Orçamento!$C$8:$ZZ$8,1,MATCH(BA$1,[5]Orçamento!$C$1:$ZZ$1,0)),0) + IFERROR(INDEX([6]Orçamento!$C$8:$ZZ$8,1,MATCH(BA$1,[6]Orçamento!$C$1:$ZZ$1,0)),0) + IFERROR(INDEX([7]Orçamento!$C$8:$ZZ$8,1,MATCH(BA$1,[7]Orçamento!$C$1:$ZZ$1,0)),0) + IFERROR(INDEX([8]Orçamento!$C$8:$ZZ$8,1,MATCH(BA$1,[8]Orçamento!$C$1:$ZZ$1,0)),0)</f>
        <v>288782.42725000001</v>
      </c>
      <c r="BB8" s="7">
        <f>IFERROR(INDEX([1]Orçamento!$C$8:$ZZ$8,1,MATCH(BB$1,[1]Orçamento!$C$1:$ZZ$1,0)),0) + IFERROR(INDEX([2]Orçamento!$C$8:$ZZ$8,1,MATCH(BB$1,[2]Orçamento!$C$1:$ZZ$1,0)),0) + IFERROR(INDEX([3]Orçamento!$C$8:$ZZ$8,1,MATCH(BB$1,[3]Orçamento!$C$1:$ZZ$1,0)),0) + IFERROR(INDEX([4]Orçamento!$C$8:$ZZ$8,1,MATCH(BB$1,[4]Orçamento!$C$1:$ZZ$1,0)),0) + IFERROR(INDEX([5]Orçamento!$C$8:$ZZ$8,1,MATCH(BB$1,[5]Orçamento!$C$1:$ZZ$1,0)),0) + IFERROR(INDEX([6]Orçamento!$C$8:$ZZ$8,1,MATCH(BB$1,[6]Orçamento!$C$1:$ZZ$1,0)),0) + IFERROR(INDEX([7]Orçamento!$C$8:$ZZ$8,1,MATCH(BB$1,[7]Orçamento!$C$1:$ZZ$1,0)),0) + IFERROR(INDEX([8]Orçamento!$C$8:$ZZ$8,1,MATCH(BB$1,[8]Orçamento!$C$1:$ZZ$1,0)),0)</f>
        <v>307782.42725000001</v>
      </c>
      <c r="BC8" s="7">
        <f>IFERROR(INDEX([1]Orçamento!$C$8:$ZZ$8,1,MATCH(BC$1,[1]Orçamento!$C$1:$ZZ$1,0)),0) + IFERROR(INDEX([2]Orçamento!$C$8:$ZZ$8,1,MATCH(BC$1,[2]Orçamento!$C$1:$ZZ$1,0)),0) + IFERROR(INDEX([3]Orçamento!$C$8:$ZZ$8,1,MATCH(BC$1,[3]Orçamento!$C$1:$ZZ$1,0)),0) + IFERROR(INDEX([4]Orçamento!$C$8:$ZZ$8,1,MATCH(BC$1,[4]Orçamento!$C$1:$ZZ$1,0)),0) + IFERROR(INDEX([5]Orçamento!$C$8:$ZZ$8,1,MATCH(BC$1,[5]Orçamento!$C$1:$ZZ$1,0)),0) + IFERROR(INDEX([6]Orçamento!$C$8:$ZZ$8,1,MATCH(BC$1,[6]Orçamento!$C$1:$ZZ$1,0)),0) + IFERROR(INDEX([7]Orçamento!$C$8:$ZZ$8,1,MATCH(BC$1,[7]Orçamento!$C$1:$ZZ$1,0)),0) + IFERROR(INDEX([8]Orçamento!$C$8:$ZZ$8,1,MATCH(BC$1,[8]Orçamento!$C$1:$ZZ$1,0)),0)</f>
        <v>307782.42725000001</v>
      </c>
      <c r="BD8" s="7">
        <f>IFERROR(INDEX([1]Orçamento!$C$8:$ZZ$8,1,MATCH(BD$1,[1]Orçamento!$C$1:$ZZ$1,0)),0) + IFERROR(INDEX([2]Orçamento!$C$8:$ZZ$8,1,MATCH(BD$1,[2]Orçamento!$C$1:$ZZ$1,0)),0) + IFERROR(INDEX([3]Orçamento!$C$8:$ZZ$8,1,MATCH(BD$1,[3]Orçamento!$C$1:$ZZ$1,0)),0) + IFERROR(INDEX([4]Orçamento!$C$8:$ZZ$8,1,MATCH(BD$1,[4]Orçamento!$C$1:$ZZ$1,0)),0) + IFERROR(INDEX([5]Orçamento!$C$8:$ZZ$8,1,MATCH(BD$1,[5]Orçamento!$C$1:$ZZ$1,0)),0) + IFERROR(INDEX([6]Orçamento!$C$8:$ZZ$8,1,MATCH(BD$1,[6]Orçamento!$C$1:$ZZ$1,0)),0) + IFERROR(INDEX([7]Orçamento!$C$8:$ZZ$8,1,MATCH(BD$1,[7]Orçamento!$C$1:$ZZ$1,0)),0) + IFERROR(INDEX([8]Orçamento!$C$8:$ZZ$8,1,MATCH(BD$1,[8]Orçamento!$C$1:$ZZ$1,0)),0)</f>
        <v>1109988.0872500001</v>
      </c>
      <c r="BE8" s="7">
        <f>IFERROR(INDEX([1]Orçamento!$C$8:$ZZ$8,1,MATCH(BE$1,[1]Orçamento!$C$1:$ZZ$1,0)),0) + IFERROR(INDEX([2]Orçamento!$C$8:$ZZ$8,1,MATCH(BE$1,[2]Orçamento!$C$1:$ZZ$1,0)),0) + IFERROR(INDEX([3]Orçamento!$C$8:$ZZ$8,1,MATCH(BE$1,[3]Orçamento!$C$1:$ZZ$1,0)),0) + IFERROR(INDEX([4]Orçamento!$C$8:$ZZ$8,1,MATCH(BE$1,[4]Orçamento!$C$1:$ZZ$1,0)),0) + IFERROR(INDEX([5]Orçamento!$C$8:$ZZ$8,1,MATCH(BE$1,[5]Orçamento!$C$1:$ZZ$1,0)),0) + IFERROR(INDEX([6]Orçamento!$C$8:$ZZ$8,1,MATCH(BE$1,[6]Orçamento!$C$1:$ZZ$1,0)),0) + IFERROR(INDEX([7]Orçamento!$C$8:$ZZ$8,1,MATCH(BE$1,[7]Orçamento!$C$1:$ZZ$1,0)),0) + IFERROR(INDEX([8]Orçamento!$C$8:$ZZ$8,1,MATCH(BE$1,[8]Orçamento!$C$1:$ZZ$1,0)),0)</f>
        <v>319258.22287500004</v>
      </c>
      <c r="BF8" s="7">
        <f>IFERROR(INDEX([1]Orçamento!$C$8:$ZZ$8,1,MATCH(BF$1,[1]Orçamento!$C$1:$ZZ$1,0)),0) + IFERROR(INDEX([2]Orçamento!$C$8:$ZZ$8,1,MATCH(BF$1,[2]Orçamento!$C$1:$ZZ$1,0)),0) + IFERROR(INDEX([3]Orçamento!$C$8:$ZZ$8,1,MATCH(BF$1,[3]Orçamento!$C$1:$ZZ$1,0)),0) + IFERROR(INDEX([4]Orçamento!$C$8:$ZZ$8,1,MATCH(BF$1,[4]Orçamento!$C$1:$ZZ$1,0)),0) + IFERROR(INDEX([5]Orçamento!$C$8:$ZZ$8,1,MATCH(BF$1,[5]Orçamento!$C$1:$ZZ$1,0)),0) + IFERROR(INDEX([6]Orçamento!$C$8:$ZZ$8,1,MATCH(BF$1,[6]Orçamento!$C$1:$ZZ$1,0)),0) + IFERROR(INDEX([7]Orçamento!$C$8:$ZZ$8,1,MATCH(BF$1,[7]Orçamento!$C$1:$ZZ$1,0)),0) + IFERROR(INDEX([8]Orçamento!$C$8:$ZZ$8,1,MATCH(BF$1,[8]Orçamento!$C$1:$ZZ$1,0)),0)</f>
        <v>319405.45162499999</v>
      </c>
      <c r="BG8" s="7">
        <f>IFERROR(INDEX([1]Orçamento!$C$8:$ZZ$8,1,MATCH(BG$1,[1]Orçamento!$C$1:$ZZ$1,0)),0) + IFERROR(INDEX([2]Orçamento!$C$8:$ZZ$8,1,MATCH(BG$1,[2]Orçamento!$C$1:$ZZ$1,0)),0) + IFERROR(INDEX([3]Orçamento!$C$8:$ZZ$8,1,MATCH(BG$1,[3]Orçamento!$C$1:$ZZ$1,0)),0) + IFERROR(INDEX([4]Orçamento!$C$8:$ZZ$8,1,MATCH(BG$1,[4]Orçamento!$C$1:$ZZ$1,0)),0) + IFERROR(INDEX([5]Orçamento!$C$8:$ZZ$8,1,MATCH(BG$1,[5]Orçamento!$C$1:$ZZ$1,0)),0) + IFERROR(INDEX([6]Orçamento!$C$8:$ZZ$8,1,MATCH(BG$1,[6]Orçamento!$C$1:$ZZ$1,0)),0) + IFERROR(INDEX([7]Orçamento!$C$8:$ZZ$8,1,MATCH(BG$1,[7]Orçamento!$C$1:$ZZ$1,0)),0) + IFERROR(INDEX([8]Orçamento!$C$8:$ZZ$8,1,MATCH(BG$1,[8]Orçamento!$C$1:$ZZ$1,0)),0)</f>
        <v>0</v>
      </c>
      <c r="BH8" s="7">
        <f>IFERROR(INDEX([1]Orçamento!$C$8:$ZZ$8,1,MATCH(BH$1,[1]Orçamento!$C$1:$ZZ$1,0)),0) + IFERROR(INDEX([2]Orçamento!$C$8:$ZZ$8,1,MATCH(BH$1,[2]Orçamento!$C$1:$ZZ$1,0)),0) + IFERROR(INDEX([3]Orçamento!$C$8:$ZZ$8,1,MATCH(BH$1,[3]Orçamento!$C$1:$ZZ$1,0)),0) + IFERROR(INDEX([4]Orçamento!$C$8:$ZZ$8,1,MATCH(BH$1,[4]Orçamento!$C$1:$ZZ$1,0)),0) + IFERROR(INDEX([5]Orçamento!$C$8:$ZZ$8,1,MATCH(BH$1,[5]Orçamento!$C$1:$ZZ$1,0)),0) + IFERROR(INDEX([6]Orçamento!$C$8:$ZZ$8,1,MATCH(BH$1,[6]Orçamento!$C$1:$ZZ$1,0)),0) + IFERROR(INDEX([7]Orçamento!$C$8:$ZZ$8,1,MATCH(BH$1,[7]Orçamento!$C$1:$ZZ$1,0)),0) + IFERROR(INDEX([8]Orçamento!$C$8:$ZZ$8,1,MATCH(BH$1,[8]Orçamento!$C$1:$ZZ$1,0)),0)</f>
        <v>391258.7107750001</v>
      </c>
      <c r="BI8" s="7">
        <f>IFERROR(INDEX([1]Orçamento!$C$8:$ZZ$8,1,MATCH(BI$1,[1]Orçamento!$C$1:$ZZ$1,0)),0) + IFERROR(INDEX([2]Orçamento!$C$8:$ZZ$8,1,MATCH(BI$1,[2]Orçamento!$C$1:$ZZ$1,0)),0) + IFERROR(INDEX([3]Orçamento!$C$8:$ZZ$8,1,MATCH(BI$1,[3]Orçamento!$C$1:$ZZ$1,0)),0) + IFERROR(INDEX([4]Orçamento!$C$8:$ZZ$8,1,MATCH(BI$1,[4]Orçamento!$C$1:$ZZ$1,0)),0) + IFERROR(INDEX([5]Orçamento!$C$8:$ZZ$8,1,MATCH(BI$1,[5]Orçamento!$C$1:$ZZ$1,0)),0) + IFERROR(INDEX([6]Orçamento!$C$8:$ZZ$8,1,MATCH(BI$1,[6]Orçamento!$C$1:$ZZ$1,0)),0) + IFERROR(INDEX([7]Orçamento!$C$8:$ZZ$8,1,MATCH(BI$1,[7]Orçamento!$C$1:$ZZ$1,0)),0) + IFERROR(INDEX([8]Orçamento!$C$8:$ZZ$8,1,MATCH(BI$1,[8]Orçamento!$C$1:$ZZ$1,0)),0)</f>
        <v>391258.7107750001</v>
      </c>
      <c r="BJ8" s="7">
        <f>IFERROR(INDEX([1]Orçamento!$C$8:$ZZ$8,1,MATCH(BJ$1,[1]Orçamento!$C$1:$ZZ$1,0)),0) + IFERROR(INDEX([2]Orçamento!$C$8:$ZZ$8,1,MATCH(BJ$1,[2]Orçamento!$C$1:$ZZ$1,0)),0) + IFERROR(INDEX([3]Orçamento!$C$8:$ZZ$8,1,MATCH(BJ$1,[3]Orçamento!$C$1:$ZZ$1,0)),0) + IFERROR(INDEX([4]Orçamento!$C$8:$ZZ$8,1,MATCH(BJ$1,[4]Orçamento!$C$1:$ZZ$1,0)),0) + IFERROR(INDEX([5]Orçamento!$C$8:$ZZ$8,1,MATCH(BJ$1,[5]Orçamento!$C$1:$ZZ$1,0)),0) + IFERROR(INDEX([6]Orçamento!$C$8:$ZZ$8,1,MATCH(BJ$1,[6]Orçamento!$C$1:$ZZ$1,0)),0) + IFERROR(INDEX([7]Orçamento!$C$8:$ZZ$8,1,MATCH(BJ$1,[7]Orçamento!$C$1:$ZZ$1,0)),0) + IFERROR(INDEX([8]Orçamento!$C$8:$ZZ$8,1,MATCH(BJ$1,[8]Orçamento!$C$1:$ZZ$1,0)),0)</f>
        <v>1204583.54015</v>
      </c>
      <c r="BK8" s="7">
        <f>IFERROR(INDEX([1]Orçamento!$C$8:$ZZ$8,1,MATCH(BK$1,[1]Orçamento!$C$1:$ZZ$1,0)),0) + IFERROR(INDEX([2]Orçamento!$C$8:$ZZ$8,1,MATCH(BK$1,[2]Orçamento!$C$1:$ZZ$1,0)),0) + IFERROR(INDEX([3]Orçamento!$C$8:$ZZ$8,1,MATCH(BK$1,[3]Orçamento!$C$1:$ZZ$1,0)),0) + IFERROR(INDEX([4]Orçamento!$C$8:$ZZ$8,1,MATCH(BK$1,[4]Orçamento!$C$1:$ZZ$1,0)),0) + IFERROR(INDEX([5]Orçamento!$C$8:$ZZ$8,1,MATCH(BK$1,[5]Orçamento!$C$1:$ZZ$1,0)),0) + IFERROR(INDEX([6]Orçamento!$C$8:$ZZ$8,1,MATCH(BK$1,[6]Orçamento!$C$1:$ZZ$1,0)),0) + IFERROR(INDEX([7]Orçamento!$C$8:$ZZ$8,1,MATCH(BK$1,[7]Orçamento!$C$1:$ZZ$1,0)),0) + IFERROR(INDEX([8]Orçamento!$C$8:$ZZ$8,1,MATCH(BK$1,[8]Orçamento!$C$1:$ZZ$1,0)),0)</f>
        <v>413853.67577500007</v>
      </c>
      <c r="BL8" s="7">
        <f>IFERROR(INDEX([1]Orçamento!$C$8:$ZZ$8,1,MATCH(BL$1,[1]Orçamento!$C$1:$ZZ$1,0)),0) + IFERROR(INDEX([2]Orçamento!$C$8:$ZZ$8,1,MATCH(BL$1,[2]Orçamento!$C$1:$ZZ$1,0)),0) + IFERROR(INDEX([3]Orçamento!$C$8:$ZZ$8,1,MATCH(BL$1,[3]Orçamento!$C$1:$ZZ$1,0)),0) + IFERROR(INDEX([4]Orçamento!$C$8:$ZZ$8,1,MATCH(BL$1,[4]Orçamento!$C$1:$ZZ$1,0)),0) + IFERROR(INDEX([5]Orçamento!$C$8:$ZZ$8,1,MATCH(BL$1,[5]Orçamento!$C$1:$ZZ$1,0)),0) + IFERROR(INDEX([6]Orçamento!$C$8:$ZZ$8,1,MATCH(BL$1,[6]Orçamento!$C$1:$ZZ$1,0)),0) + IFERROR(INDEX([7]Orçamento!$C$8:$ZZ$8,1,MATCH(BL$1,[7]Orçamento!$C$1:$ZZ$1,0)),0) + IFERROR(INDEX([8]Orçamento!$C$8:$ZZ$8,1,MATCH(BL$1,[8]Orçamento!$C$1:$ZZ$1,0)),0)</f>
        <v>414300.90452500002</v>
      </c>
      <c r="BM8" s="7">
        <f>IFERROR(INDEX([1]Orçamento!$C$8:$ZZ$8,1,MATCH(BM$1,[1]Orçamento!$C$1:$ZZ$1,0)),0) + IFERROR(INDEX([2]Orçamento!$C$8:$ZZ$8,1,MATCH(BM$1,[2]Orçamento!$C$1:$ZZ$1,0)),0) + IFERROR(INDEX([3]Orçamento!$C$8:$ZZ$8,1,MATCH(BM$1,[3]Orçamento!$C$1:$ZZ$1,0)),0) + IFERROR(INDEX([4]Orçamento!$C$8:$ZZ$8,1,MATCH(BM$1,[4]Orçamento!$C$1:$ZZ$1,0)),0) + IFERROR(INDEX([5]Orçamento!$C$8:$ZZ$8,1,MATCH(BM$1,[5]Orçamento!$C$1:$ZZ$1,0)),0) + IFERROR(INDEX([6]Orçamento!$C$8:$ZZ$8,1,MATCH(BM$1,[6]Orçamento!$C$1:$ZZ$1,0)),0) + IFERROR(INDEX([7]Orçamento!$C$8:$ZZ$8,1,MATCH(BM$1,[7]Orçamento!$C$1:$ZZ$1,0)),0) + IFERROR(INDEX([8]Orçamento!$C$8:$ZZ$8,1,MATCH(BM$1,[8]Orçamento!$C$1:$ZZ$1,0)),0)</f>
        <v>361912.83090000006</v>
      </c>
      <c r="BN8" s="7">
        <f>IFERROR(INDEX([1]Orçamento!$C$8:$ZZ$8,1,MATCH(BN$1,[1]Orçamento!$C$1:$ZZ$1,0)),0) + IFERROR(INDEX([2]Orçamento!$C$8:$ZZ$8,1,MATCH(BN$1,[2]Orçamento!$C$1:$ZZ$1,0)),0) + IFERROR(INDEX([3]Orçamento!$C$8:$ZZ$8,1,MATCH(BN$1,[3]Orçamento!$C$1:$ZZ$1,0)),0) + IFERROR(INDEX([4]Orçamento!$C$8:$ZZ$8,1,MATCH(BN$1,[4]Orçamento!$C$1:$ZZ$1,0)),0) + IFERROR(INDEX([5]Orçamento!$C$8:$ZZ$8,1,MATCH(BN$1,[5]Orçamento!$C$1:$ZZ$1,0)),0) + IFERROR(INDEX([6]Orçamento!$C$8:$ZZ$8,1,MATCH(BN$1,[6]Orçamento!$C$1:$ZZ$1,0)),0) + IFERROR(INDEX([7]Orçamento!$C$8:$ZZ$8,1,MATCH(BN$1,[7]Orçamento!$C$1:$ZZ$1,0)),0) + IFERROR(INDEX([8]Orçamento!$C$8:$ZZ$8,1,MATCH(BN$1,[8]Orçamento!$C$1:$ZZ$1,0)),0)</f>
        <v>416434.19140000007</v>
      </c>
      <c r="BO8" s="7">
        <f>IFERROR(INDEX([1]Orçamento!$C$8:$ZZ$8,1,MATCH(BO$1,[1]Orçamento!$C$1:$ZZ$1,0)),0) + IFERROR(INDEX([2]Orçamento!$C$8:$ZZ$8,1,MATCH(BO$1,[2]Orçamento!$C$1:$ZZ$1,0)),0) + IFERROR(INDEX([3]Orçamento!$C$8:$ZZ$8,1,MATCH(BO$1,[3]Orçamento!$C$1:$ZZ$1,0)),0) + IFERROR(INDEX([4]Orçamento!$C$8:$ZZ$8,1,MATCH(BO$1,[4]Orçamento!$C$1:$ZZ$1,0)),0) + IFERROR(INDEX([5]Orçamento!$C$8:$ZZ$8,1,MATCH(BO$1,[5]Orçamento!$C$1:$ZZ$1,0)),0) + IFERROR(INDEX([6]Orçamento!$C$8:$ZZ$8,1,MATCH(BO$1,[6]Orçamento!$C$1:$ZZ$1,0)),0) + IFERROR(INDEX([7]Orçamento!$C$8:$ZZ$8,1,MATCH(BO$1,[7]Orçamento!$C$1:$ZZ$1,0)),0) + IFERROR(INDEX([8]Orçamento!$C$8:$ZZ$8,1,MATCH(BO$1,[8]Orçamento!$C$1:$ZZ$1,0)),0)</f>
        <v>416434.19140000007</v>
      </c>
      <c r="BP8" s="7">
        <f>IFERROR(INDEX([1]Orçamento!$C$8:$ZZ$8,1,MATCH(BP$1,[1]Orçamento!$C$1:$ZZ$1,0)),0) + IFERROR(INDEX([2]Orçamento!$C$8:$ZZ$8,1,MATCH(BP$1,[2]Orçamento!$C$1:$ZZ$1,0)),0) + IFERROR(INDEX([3]Orçamento!$C$8:$ZZ$8,1,MATCH(BP$1,[3]Orçamento!$C$1:$ZZ$1,0)),0) + IFERROR(INDEX([4]Orçamento!$C$8:$ZZ$8,1,MATCH(BP$1,[4]Orçamento!$C$1:$ZZ$1,0)),0) + IFERROR(INDEX([5]Orçamento!$C$8:$ZZ$8,1,MATCH(BP$1,[5]Orçamento!$C$1:$ZZ$1,0)),0) + IFERROR(INDEX([6]Orçamento!$C$8:$ZZ$8,1,MATCH(BP$1,[6]Orçamento!$C$1:$ZZ$1,0)),0) + IFERROR(INDEX([7]Orçamento!$C$8:$ZZ$8,1,MATCH(BP$1,[7]Orçamento!$C$1:$ZZ$1,0)),0) + IFERROR(INDEX([8]Orçamento!$C$8:$ZZ$8,1,MATCH(BP$1,[8]Orçamento!$C$1:$ZZ$1,0)),0)</f>
        <v>416434.19140000007</v>
      </c>
      <c r="BQ8" s="7">
        <f>IFERROR(INDEX([1]Orçamento!$C$8:$ZZ$8,1,MATCH(BQ$1,[1]Orçamento!$C$1:$ZZ$1,0)),0) + IFERROR(INDEX([2]Orçamento!$C$8:$ZZ$8,1,MATCH(BQ$1,[2]Orçamento!$C$1:$ZZ$1,0)),0) + IFERROR(INDEX([3]Orçamento!$C$8:$ZZ$8,1,MATCH(BQ$1,[3]Orçamento!$C$1:$ZZ$1,0)),0) + IFERROR(INDEX([4]Orçamento!$C$8:$ZZ$8,1,MATCH(BQ$1,[4]Orçamento!$C$1:$ZZ$1,0)),0) + IFERROR(INDEX([5]Orçamento!$C$8:$ZZ$8,1,MATCH(BQ$1,[5]Orçamento!$C$1:$ZZ$1,0)),0) + IFERROR(INDEX([6]Orçamento!$C$8:$ZZ$8,1,MATCH(BQ$1,[6]Orçamento!$C$1:$ZZ$1,0)),0) + IFERROR(INDEX([7]Orçamento!$C$8:$ZZ$8,1,MATCH(BQ$1,[7]Orçamento!$C$1:$ZZ$1,0)),0) + IFERROR(INDEX([8]Orçamento!$C$8:$ZZ$8,1,MATCH(BQ$1,[8]Orçamento!$C$1:$ZZ$1,0)),0)</f>
        <v>416734.19140000007</v>
      </c>
      <c r="BR8" s="7">
        <f>IFERROR(INDEX([1]Orçamento!$C$8:$ZZ$8,1,MATCH(BR$1,[1]Orçamento!$C$1:$ZZ$1,0)),0) + IFERROR(INDEX([2]Orçamento!$C$8:$ZZ$8,1,MATCH(BR$1,[2]Orçamento!$C$1:$ZZ$1,0)),0) + IFERROR(INDEX([3]Orçamento!$C$8:$ZZ$8,1,MATCH(BR$1,[3]Orçamento!$C$1:$ZZ$1,0)),0) + IFERROR(INDEX([4]Orçamento!$C$8:$ZZ$8,1,MATCH(BR$1,[4]Orçamento!$C$1:$ZZ$1,0)),0) + IFERROR(INDEX([5]Orçamento!$C$8:$ZZ$8,1,MATCH(BR$1,[5]Orçamento!$C$1:$ZZ$1,0)),0) + IFERROR(INDEX([6]Orçamento!$C$8:$ZZ$8,1,MATCH(BR$1,[6]Orçamento!$C$1:$ZZ$1,0)),0) + IFERROR(INDEX([7]Orçamento!$C$8:$ZZ$8,1,MATCH(BR$1,[7]Orçamento!$C$1:$ZZ$1,0)),0) + IFERROR(INDEX([8]Orçamento!$C$8:$ZZ$8,1,MATCH(BR$1,[8]Orçamento!$C$1:$ZZ$1,0)),0)</f>
        <v>416734.19140000007</v>
      </c>
      <c r="BS8" s="7">
        <f>IFERROR(INDEX([1]Orçamento!$C$8:$ZZ$8,1,MATCH(BS$1,[1]Orçamento!$C$1:$ZZ$1,0)),0) + IFERROR(INDEX([2]Orçamento!$C$8:$ZZ$8,1,MATCH(BS$1,[2]Orçamento!$C$1:$ZZ$1,0)),0) + IFERROR(INDEX([3]Orçamento!$C$8:$ZZ$8,1,MATCH(BS$1,[3]Orçamento!$C$1:$ZZ$1,0)),0) + IFERROR(INDEX([4]Orçamento!$C$8:$ZZ$8,1,MATCH(BS$1,[4]Orçamento!$C$1:$ZZ$1,0)),0) + IFERROR(INDEX([5]Orçamento!$C$8:$ZZ$8,1,MATCH(BS$1,[5]Orçamento!$C$1:$ZZ$1,0)),0) + IFERROR(INDEX([6]Orçamento!$C$8:$ZZ$8,1,MATCH(BS$1,[6]Orçamento!$C$1:$ZZ$1,0)),0) + IFERROR(INDEX([7]Orçamento!$C$8:$ZZ$8,1,MATCH(BS$1,[7]Orçamento!$C$1:$ZZ$1,0)),0) + IFERROR(INDEX([8]Orçamento!$C$8:$ZZ$8,1,MATCH(BS$1,[8]Orçamento!$C$1:$ZZ$1,0)),0)</f>
        <v>416734.19140000007</v>
      </c>
      <c r="BT8" s="7">
        <f>IFERROR(INDEX([1]Orçamento!$C$8:$ZZ$8,1,MATCH(BT$1,[1]Orçamento!$C$1:$ZZ$1,0)),0) + IFERROR(INDEX([2]Orçamento!$C$8:$ZZ$8,1,MATCH(BT$1,[2]Orçamento!$C$1:$ZZ$1,0)),0) + IFERROR(INDEX([3]Orçamento!$C$8:$ZZ$8,1,MATCH(BT$1,[3]Orçamento!$C$1:$ZZ$1,0)),0) + IFERROR(INDEX([4]Orçamento!$C$8:$ZZ$8,1,MATCH(BT$1,[4]Orçamento!$C$1:$ZZ$1,0)),0) + IFERROR(INDEX([5]Orçamento!$C$8:$ZZ$8,1,MATCH(BT$1,[5]Orçamento!$C$1:$ZZ$1,0)),0) + IFERROR(INDEX([6]Orçamento!$C$8:$ZZ$8,1,MATCH(BT$1,[6]Orçamento!$C$1:$ZZ$1,0)),0) + IFERROR(INDEX([7]Orçamento!$C$8:$ZZ$8,1,MATCH(BT$1,[7]Orçamento!$C$1:$ZZ$1,0)),0) + IFERROR(INDEX([8]Orçamento!$C$8:$ZZ$8,1,MATCH(BT$1,[8]Orçamento!$C$1:$ZZ$1,0)),0)</f>
        <v>0</v>
      </c>
      <c r="BU8" s="7">
        <f>IFERROR(INDEX([1]Orçamento!$C$8:$ZZ$8,1,MATCH(BU$1,[1]Orçamento!$C$1:$ZZ$1,0)),0) + IFERROR(INDEX([2]Orçamento!$C$8:$ZZ$8,1,MATCH(BU$1,[2]Orçamento!$C$1:$ZZ$1,0)),0) + IFERROR(INDEX([3]Orçamento!$C$8:$ZZ$8,1,MATCH(BU$1,[3]Orçamento!$C$1:$ZZ$1,0)),0) + IFERROR(INDEX([4]Orçamento!$C$8:$ZZ$8,1,MATCH(BU$1,[4]Orçamento!$C$1:$ZZ$1,0)),0) + IFERROR(INDEX([5]Orçamento!$C$8:$ZZ$8,1,MATCH(BU$1,[5]Orçamento!$C$1:$ZZ$1,0)),0) + IFERROR(INDEX([6]Orçamento!$C$8:$ZZ$8,1,MATCH(BU$1,[6]Orçamento!$C$1:$ZZ$1,0)),0) + IFERROR(INDEX([7]Orçamento!$C$8:$ZZ$8,1,MATCH(BU$1,[7]Orçamento!$C$1:$ZZ$1,0)),0) + IFERROR(INDEX([8]Orçamento!$C$8:$ZZ$8,1,MATCH(BU$1,[8]Orçamento!$C$1:$ZZ$1,0)),0)</f>
        <v>483144.80325500009</v>
      </c>
      <c r="BV8" s="7">
        <f>IFERROR(INDEX([1]Orçamento!$C$8:$ZZ$8,1,MATCH(BV$1,[1]Orçamento!$C$1:$ZZ$1,0)),0) + IFERROR(INDEX([2]Orçamento!$C$8:$ZZ$8,1,MATCH(BV$1,[2]Orçamento!$C$1:$ZZ$1,0)),0) + IFERROR(INDEX([3]Orçamento!$C$8:$ZZ$8,1,MATCH(BV$1,[3]Orçamento!$C$1:$ZZ$1,0)),0) + IFERROR(INDEX([4]Orçamento!$C$8:$ZZ$8,1,MATCH(BV$1,[4]Orçamento!$C$1:$ZZ$1,0)),0) + IFERROR(INDEX([5]Orçamento!$C$8:$ZZ$8,1,MATCH(BV$1,[5]Orçamento!$C$1:$ZZ$1,0)),0) + IFERROR(INDEX([6]Orçamento!$C$8:$ZZ$8,1,MATCH(BV$1,[6]Orçamento!$C$1:$ZZ$1,0)),0) + IFERROR(INDEX([7]Orçamento!$C$8:$ZZ$8,1,MATCH(BV$1,[7]Orçamento!$C$1:$ZZ$1,0)),0) + IFERROR(INDEX([8]Orçamento!$C$8:$ZZ$8,1,MATCH(BV$1,[8]Orçamento!$C$1:$ZZ$1,0)),0)</f>
        <v>483144.80325500009</v>
      </c>
      <c r="BW8" s="7">
        <f>IFERROR(INDEX([1]Orçamento!$C$8:$ZZ$8,1,MATCH(BW$1,[1]Orçamento!$C$1:$ZZ$1,0)),0) + IFERROR(INDEX([2]Orçamento!$C$8:$ZZ$8,1,MATCH(BW$1,[2]Orçamento!$C$1:$ZZ$1,0)),0) + IFERROR(INDEX([3]Orçamento!$C$8:$ZZ$8,1,MATCH(BW$1,[3]Orçamento!$C$1:$ZZ$1,0)),0) + IFERROR(INDEX([4]Orçamento!$C$8:$ZZ$8,1,MATCH(BW$1,[4]Orçamento!$C$1:$ZZ$1,0)),0) + IFERROR(INDEX([5]Orçamento!$C$8:$ZZ$8,1,MATCH(BW$1,[5]Orçamento!$C$1:$ZZ$1,0)),0) + IFERROR(INDEX([6]Orçamento!$C$8:$ZZ$8,1,MATCH(BW$1,[6]Orçamento!$C$1:$ZZ$1,0)),0) + IFERROR(INDEX([7]Orçamento!$C$8:$ZZ$8,1,MATCH(BW$1,[7]Orçamento!$C$1:$ZZ$1,0)),0) + IFERROR(INDEX([8]Orçamento!$C$8:$ZZ$8,1,MATCH(BW$1,[8]Orçamento!$C$1:$ZZ$1,0)),0)</f>
        <v>494563.97263000003</v>
      </c>
      <c r="BX8" s="7">
        <f>IFERROR(INDEX([1]Orçamento!$C$8:$ZZ$8,1,MATCH(BX$1,[1]Orçamento!$C$1:$ZZ$1,0)),0) + IFERROR(INDEX([2]Orçamento!$C$8:$ZZ$8,1,MATCH(BX$1,[2]Orçamento!$C$1:$ZZ$1,0)),0) + IFERROR(INDEX([3]Orçamento!$C$8:$ZZ$8,1,MATCH(BX$1,[3]Orçamento!$C$1:$ZZ$1,0)),0) + IFERROR(INDEX([4]Orçamento!$C$8:$ZZ$8,1,MATCH(BX$1,[4]Orçamento!$C$1:$ZZ$1,0)),0) + IFERROR(INDEX([5]Orçamento!$C$8:$ZZ$8,1,MATCH(BX$1,[5]Orçamento!$C$1:$ZZ$1,0)),0) + IFERROR(INDEX([6]Orçamento!$C$8:$ZZ$8,1,MATCH(BX$1,[6]Orçamento!$C$1:$ZZ$1,0)),0) + IFERROR(INDEX([7]Orçamento!$C$8:$ZZ$8,1,MATCH(BX$1,[7]Orçamento!$C$1:$ZZ$1,0)),0) + IFERROR(INDEX([8]Orçamento!$C$8:$ZZ$8,1,MATCH(BX$1,[8]Orçamento!$C$1:$ZZ$1,0)),0)</f>
        <v>494563.97263000003</v>
      </c>
      <c r="BY8" s="7">
        <f>IFERROR(INDEX([1]Orçamento!$C$8:$ZZ$8,1,MATCH(BY$1,[1]Orçamento!$C$1:$ZZ$1,0)),0) + IFERROR(INDEX([2]Orçamento!$C$8:$ZZ$8,1,MATCH(BY$1,[2]Orçamento!$C$1:$ZZ$1,0)),0) + IFERROR(INDEX([3]Orçamento!$C$8:$ZZ$8,1,MATCH(BY$1,[3]Orçamento!$C$1:$ZZ$1,0)),0) + IFERROR(INDEX([4]Orçamento!$C$8:$ZZ$8,1,MATCH(BY$1,[4]Orçamento!$C$1:$ZZ$1,0)),0) + IFERROR(INDEX([5]Orçamento!$C$8:$ZZ$8,1,MATCH(BY$1,[5]Orçamento!$C$1:$ZZ$1,0)),0) + IFERROR(INDEX([6]Orçamento!$C$8:$ZZ$8,1,MATCH(BY$1,[6]Orçamento!$C$1:$ZZ$1,0)),0) + IFERROR(INDEX([7]Orçamento!$C$8:$ZZ$8,1,MATCH(BY$1,[7]Orçamento!$C$1:$ZZ$1,0)),0) + IFERROR(INDEX([8]Orçamento!$C$8:$ZZ$8,1,MATCH(BY$1,[8]Orçamento!$C$1:$ZZ$1,0)),0)</f>
        <v>494563.97263000003</v>
      </c>
      <c r="BZ8" s="7">
        <f>IFERROR(INDEX([1]Orçamento!$C$8:$ZZ$8,1,MATCH(BZ$1,[1]Orçamento!$C$1:$ZZ$1,0)),0) + IFERROR(INDEX([2]Orçamento!$C$8:$ZZ$8,1,MATCH(BZ$1,[2]Orçamento!$C$1:$ZZ$1,0)),0) + IFERROR(INDEX([3]Orçamento!$C$8:$ZZ$8,1,MATCH(BZ$1,[3]Orçamento!$C$1:$ZZ$1,0)),0) + IFERROR(INDEX([4]Orçamento!$C$8:$ZZ$8,1,MATCH(BZ$1,[4]Orçamento!$C$1:$ZZ$1,0)),0) + IFERROR(INDEX([5]Orçamento!$C$8:$ZZ$8,1,MATCH(BZ$1,[5]Orçamento!$C$1:$ZZ$1,0)),0) + IFERROR(INDEX([6]Orçamento!$C$8:$ZZ$8,1,MATCH(BZ$1,[6]Orçamento!$C$1:$ZZ$1,0)),0) + IFERROR(INDEX([7]Orçamento!$C$8:$ZZ$8,1,MATCH(BZ$1,[7]Orçamento!$C$1:$ZZ$1,0)),0) + IFERROR(INDEX([8]Orçamento!$C$8:$ZZ$8,1,MATCH(BZ$1,[8]Orçamento!$C$1:$ZZ$1,0)),0)</f>
        <v>494563.97263000003</v>
      </c>
      <c r="CA8" s="7">
        <f>IFERROR(INDEX([1]Orçamento!$C$8:$ZZ$8,1,MATCH(CA$1,[1]Orçamento!$C$1:$ZZ$1,0)),0) + IFERROR(INDEX([2]Orçamento!$C$8:$ZZ$8,1,MATCH(CA$1,[2]Orçamento!$C$1:$ZZ$1,0)),0) + IFERROR(INDEX([3]Orçamento!$C$8:$ZZ$8,1,MATCH(CA$1,[3]Orçamento!$C$1:$ZZ$1,0)),0) + IFERROR(INDEX([4]Orçamento!$C$8:$ZZ$8,1,MATCH(CA$1,[4]Orçamento!$C$1:$ZZ$1,0)),0) + IFERROR(INDEX([5]Orçamento!$C$8:$ZZ$8,1,MATCH(CA$1,[5]Orçamento!$C$1:$ZZ$1,0)),0) + IFERROR(INDEX([6]Orçamento!$C$8:$ZZ$8,1,MATCH(CA$1,[6]Orçamento!$C$1:$ZZ$1,0)),0) + IFERROR(INDEX([7]Orçamento!$C$8:$ZZ$8,1,MATCH(CA$1,[7]Orçamento!$C$1:$ZZ$1,0)),0) + IFERROR(INDEX([8]Orçamento!$C$8:$ZZ$8,1,MATCH(CA$1,[8]Orçamento!$C$1:$ZZ$1,0)),0)</f>
        <v>494563.97263000003</v>
      </c>
      <c r="CB8" s="7">
        <f>IFERROR(INDEX([1]Orçamento!$C$8:$ZZ$8,1,MATCH(CB$1,[1]Orçamento!$C$1:$ZZ$1,0)),0) + IFERROR(INDEX([2]Orçamento!$C$8:$ZZ$8,1,MATCH(CB$1,[2]Orçamento!$C$1:$ZZ$1,0)),0) + IFERROR(INDEX([3]Orçamento!$C$8:$ZZ$8,1,MATCH(CB$1,[3]Orçamento!$C$1:$ZZ$1,0)),0) + IFERROR(INDEX([4]Orçamento!$C$8:$ZZ$8,1,MATCH(CB$1,[4]Orçamento!$C$1:$ZZ$1,0)),0) + IFERROR(INDEX([5]Orçamento!$C$8:$ZZ$8,1,MATCH(CB$1,[5]Orçamento!$C$1:$ZZ$1,0)),0) + IFERROR(INDEX([6]Orçamento!$C$8:$ZZ$8,1,MATCH(CB$1,[6]Orçamento!$C$1:$ZZ$1,0)),0) + IFERROR(INDEX([7]Orçamento!$C$8:$ZZ$8,1,MATCH(CB$1,[7]Orçamento!$C$1:$ZZ$1,0)),0) + IFERROR(INDEX([8]Orçamento!$C$8:$ZZ$8,1,MATCH(CB$1,[8]Orçamento!$C$1:$ZZ$1,0)),0)</f>
        <v>494563.97263000003</v>
      </c>
      <c r="CC8" s="7">
        <f>IFERROR(INDEX([1]Orçamento!$C$8:$ZZ$8,1,MATCH(CC$1,[1]Orçamento!$C$1:$ZZ$1,0)),0) + IFERROR(INDEX([2]Orçamento!$C$8:$ZZ$8,1,MATCH(CC$1,[2]Orçamento!$C$1:$ZZ$1,0)),0) + IFERROR(INDEX([3]Orçamento!$C$8:$ZZ$8,1,MATCH(CC$1,[3]Orçamento!$C$1:$ZZ$1,0)),0) + IFERROR(INDEX([4]Orçamento!$C$8:$ZZ$8,1,MATCH(CC$1,[4]Orçamento!$C$1:$ZZ$1,0)),0) + IFERROR(INDEX([5]Orçamento!$C$8:$ZZ$8,1,MATCH(CC$1,[5]Orçamento!$C$1:$ZZ$1,0)),0) + IFERROR(INDEX([6]Orçamento!$C$8:$ZZ$8,1,MATCH(CC$1,[6]Orçamento!$C$1:$ZZ$1,0)),0) + IFERROR(INDEX([7]Orçamento!$C$8:$ZZ$8,1,MATCH(CC$1,[7]Orçamento!$C$1:$ZZ$1,0)),0) + IFERROR(INDEX([8]Orçamento!$C$8:$ZZ$8,1,MATCH(CC$1,[8]Orçamento!$C$1:$ZZ$1,0)),0)</f>
        <v>494563.97263000003</v>
      </c>
      <c r="CD8" s="7">
        <f>IFERROR(INDEX([1]Orçamento!$C$8:$ZZ$8,1,MATCH(CD$1,[1]Orçamento!$C$1:$ZZ$1,0)),0) + IFERROR(INDEX([2]Orçamento!$C$8:$ZZ$8,1,MATCH(CD$1,[2]Orçamento!$C$1:$ZZ$1,0)),0) + IFERROR(INDEX([3]Orçamento!$C$8:$ZZ$8,1,MATCH(CD$1,[3]Orçamento!$C$1:$ZZ$1,0)),0) + IFERROR(INDEX([4]Orçamento!$C$8:$ZZ$8,1,MATCH(CD$1,[4]Orçamento!$C$1:$ZZ$1,0)),0) + IFERROR(INDEX([5]Orçamento!$C$8:$ZZ$8,1,MATCH(CD$1,[5]Orçamento!$C$1:$ZZ$1,0)),0) + IFERROR(INDEX([6]Orçamento!$C$8:$ZZ$8,1,MATCH(CD$1,[6]Orçamento!$C$1:$ZZ$1,0)),0) + IFERROR(INDEX([7]Orçamento!$C$8:$ZZ$8,1,MATCH(CD$1,[7]Orçamento!$C$1:$ZZ$1,0)),0) + IFERROR(INDEX([8]Orçamento!$C$8:$ZZ$8,1,MATCH(CD$1,[8]Orçamento!$C$1:$ZZ$1,0)),0)</f>
        <v>494563.97263000003</v>
      </c>
      <c r="CE8" s="7">
        <f>IFERROR(INDEX([1]Orçamento!$C$8:$ZZ$8,1,MATCH(CE$1,[1]Orçamento!$C$1:$ZZ$1,0)),0) + IFERROR(INDEX([2]Orçamento!$C$8:$ZZ$8,1,MATCH(CE$1,[2]Orçamento!$C$1:$ZZ$1,0)),0) + IFERROR(INDEX([3]Orçamento!$C$8:$ZZ$8,1,MATCH(CE$1,[3]Orçamento!$C$1:$ZZ$1,0)),0) + IFERROR(INDEX([4]Orçamento!$C$8:$ZZ$8,1,MATCH(CE$1,[4]Orçamento!$C$1:$ZZ$1,0)),0) + IFERROR(INDEX([5]Orçamento!$C$8:$ZZ$8,1,MATCH(CE$1,[5]Orçamento!$C$1:$ZZ$1,0)),0) + IFERROR(INDEX([6]Orçamento!$C$8:$ZZ$8,1,MATCH(CE$1,[6]Orçamento!$C$1:$ZZ$1,0)),0) + IFERROR(INDEX([7]Orçamento!$C$8:$ZZ$8,1,MATCH(CE$1,[7]Orçamento!$C$1:$ZZ$1,0)),0) + IFERROR(INDEX([8]Orçamento!$C$8:$ZZ$8,1,MATCH(CE$1,[8]Orçamento!$C$1:$ZZ$1,0)),0)</f>
        <v>494563.97263000003</v>
      </c>
      <c r="CF8" s="7">
        <f>IFERROR(INDEX([1]Orçamento!$C$8:$ZZ$8,1,MATCH(CF$1,[1]Orçamento!$C$1:$ZZ$1,0)),0) + IFERROR(INDEX([2]Orçamento!$C$8:$ZZ$8,1,MATCH(CF$1,[2]Orçamento!$C$1:$ZZ$1,0)),0) + IFERROR(INDEX([3]Orçamento!$C$8:$ZZ$8,1,MATCH(CF$1,[3]Orçamento!$C$1:$ZZ$1,0)),0) + IFERROR(INDEX([4]Orçamento!$C$8:$ZZ$8,1,MATCH(CF$1,[4]Orçamento!$C$1:$ZZ$1,0)),0) + IFERROR(INDEX([5]Orçamento!$C$8:$ZZ$8,1,MATCH(CF$1,[5]Orçamento!$C$1:$ZZ$1,0)),0) + IFERROR(INDEX([6]Orçamento!$C$8:$ZZ$8,1,MATCH(CF$1,[6]Orçamento!$C$1:$ZZ$1,0)),0) + IFERROR(INDEX([7]Orçamento!$C$8:$ZZ$8,1,MATCH(CF$1,[7]Orçamento!$C$1:$ZZ$1,0)),0) + IFERROR(INDEX([8]Orçamento!$C$8:$ZZ$8,1,MATCH(CF$1,[8]Orçamento!$C$1:$ZZ$1,0)),0)</f>
        <v>494563.97263000003</v>
      </c>
      <c r="CG8" s="7">
        <f>IFERROR(INDEX([1]Orçamento!$C$8:$ZZ$8,1,MATCH(CG$1,[1]Orçamento!$C$1:$ZZ$1,0)),0) + IFERROR(INDEX([2]Orçamento!$C$8:$ZZ$8,1,MATCH(CG$1,[2]Orçamento!$C$1:$ZZ$1,0)),0) + IFERROR(INDEX([3]Orçamento!$C$8:$ZZ$8,1,MATCH(CG$1,[3]Orçamento!$C$1:$ZZ$1,0)),0) + IFERROR(INDEX([4]Orçamento!$C$8:$ZZ$8,1,MATCH(CG$1,[4]Orçamento!$C$1:$ZZ$1,0)),0) + IFERROR(INDEX([5]Orçamento!$C$8:$ZZ$8,1,MATCH(CG$1,[5]Orçamento!$C$1:$ZZ$1,0)),0) + IFERROR(INDEX([6]Orçamento!$C$8:$ZZ$8,1,MATCH(CG$1,[6]Orçamento!$C$1:$ZZ$1,0)),0) + IFERROR(INDEX([7]Orçamento!$C$8:$ZZ$8,1,MATCH(CG$1,[7]Orçamento!$C$1:$ZZ$1,0)),0) + IFERROR(INDEX([8]Orçamento!$C$8:$ZZ$8,1,MATCH(CG$1,[8]Orçamento!$C$1:$ZZ$1,0)),0)</f>
        <v>0</v>
      </c>
      <c r="CH8" s="7">
        <f>IFERROR(INDEX([1]Orçamento!$C$8:$ZZ$8,1,MATCH(CH$1,[1]Orçamento!$C$1:$ZZ$1,0)),0) + IFERROR(INDEX([2]Orçamento!$C$8:$ZZ$8,1,MATCH(CH$1,[2]Orçamento!$C$1:$ZZ$1,0)),0) + IFERROR(INDEX([3]Orçamento!$C$8:$ZZ$8,1,MATCH(CH$1,[3]Orçamento!$C$1:$ZZ$1,0)),0) + IFERROR(INDEX([4]Orçamento!$C$8:$ZZ$8,1,MATCH(CH$1,[4]Orçamento!$C$1:$ZZ$1,0)),0) + IFERROR(INDEX([5]Orçamento!$C$8:$ZZ$8,1,MATCH(CH$1,[5]Orçamento!$C$1:$ZZ$1,0)),0) + IFERROR(INDEX([6]Orçamento!$C$8:$ZZ$8,1,MATCH(CH$1,[6]Orçamento!$C$1:$ZZ$1,0)),0) + IFERROR(INDEX([7]Orçamento!$C$8:$ZZ$8,1,MATCH(CH$1,[7]Orçamento!$C$1:$ZZ$1,0)),0) + IFERROR(INDEX([8]Orçamento!$C$8:$ZZ$8,1,MATCH(CH$1,[8]Orçamento!$C$1:$ZZ$1,0)),0)</f>
        <v>562118.90668300004</v>
      </c>
      <c r="CI8" s="7">
        <f>IFERROR(INDEX([1]Orçamento!$C$8:$ZZ$8,1,MATCH(CI$1,[1]Orçamento!$C$1:$ZZ$1,0)),0) + IFERROR(INDEX([2]Orçamento!$C$8:$ZZ$8,1,MATCH(CI$1,[2]Orçamento!$C$1:$ZZ$1,0)),0) + IFERROR(INDEX([3]Orçamento!$C$8:$ZZ$8,1,MATCH(CI$1,[3]Orçamento!$C$1:$ZZ$1,0)),0) + IFERROR(INDEX([4]Orçamento!$C$8:$ZZ$8,1,MATCH(CI$1,[4]Orçamento!$C$1:$ZZ$1,0)),0) + IFERROR(INDEX([5]Orçamento!$C$8:$ZZ$8,1,MATCH(CI$1,[5]Orçamento!$C$1:$ZZ$1,0)),0) + IFERROR(INDEX([6]Orçamento!$C$8:$ZZ$8,1,MATCH(CI$1,[6]Orçamento!$C$1:$ZZ$1,0)),0) + IFERROR(INDEX([7]Orçamento!$C$8:$ZZ$8,1,MATCH(CI$1,[7]Orçamento!$C$1:$ZZ$1,0)),0) + IFERROR(INDEX([8]Orçamento!$C$8:$ZZ$8,1,MATCH(CI$1,[8]Orçamento!$C$1:$ZZ$1,0)),0)</f>
        <v>562118.90668300004</v>
      </c>
      <c r="CJ8" s="7">
        <f>IFERROR(INDEX([1]Orçamento!$C$8:$ZZ$8,1,MATCH(CJ$1,[1]Orçamento!$C$1:$ZZ$1,0)),0) + IFERROR(INDEX([2]Orçamento!$C$8:$ZZ$8,1,MATCH(CJ$1,[2]Orçamento!$C$1:$ZZ$1,0)),0) + IFERROR(INDEX([3]Orçamento!$C$8:$ZZ$8,1,MATCH(CJ$1,[3]Orçamento!$C$1:$ZZ$1,0)),0) + IFERROR(INDEX([4]Orçamento!$C$8:$ZZ$8,1,MATCH(CJ$1,[4]Orçamento!$C$1:$ZZ$1,0)),0) + IFERROR(INDEX([5]Orçamento!$C$8:$ZZ$8,1,MATCH(CJ$1,[5]Orçamento!$C$1:$ZZ$1,0)),0) + IFERROR(INDEX([6]Orçamento!$C$8:$ZZ$8,1,MATCH(CJ$1,[6]Orçamento!$C$1:$ZZ$1,0)),0) + IFERROR(INDEX([7]Orçamento!$C$8:$ZZ$8,1,MATCH(CJ$1,[7]Orçamento!$C$1:$ZZ$1,0)),0) + IFERROR(INDEX([8]Orçamento!$C$8:$ZZ$8,1,MATCH(CJ$1,[8]Orçamento!$C$1:$ZZ$1,0)),0)</f>
        <v>562118.90668300004</v>
      </c>
      <c r="CK8" s="7">
        <f>IFERROR(INDEX([1]Orçamento!$C$8:$ZZ$8,1,MATCH(CK$1,[1]Orçamento!$C$1:$ZZ$1,0)),0) + IFERROR(INDEX([2]Orçamento!$C$8:$ZZ$8,1,MATCH(CK$1,[2]Orçamento!$C$1:$ZZ$1,0)),0) + IFERROR(INDEX([3]Orçamento!$C$8:$ZZ$8,1,MATCH(CK$1,[3]Orçamento!$C$1:$ZZ$1,0)),0) + IFERROR(INDEX([4]Orçamento!$C$8:$ZZ$8,1,MATCH(CK$1,[4]Orçamento!$C$1:$ZZ$1,0)),0) + IFERROR(INDEX([5]Orçamento!$C$8:$ZZ$8,1,MATCH(CK$1,[5]Orçamento!$C$1:$ZZ$1,0)),0) + IFERROR(INDEX([6]Orçamento!$C$8:$ZZ$8,1,MATCH(CK$1,[6]Orçamento!$C$1:$ZZ$1,0)),0) + IFERROR(INDEX([7]Orçamento!$C$8:$ZZ$8,1,MATCH(CK$1,[7]Orçamento!$C$1:$ZZ$1,0)),0) + IFERROR(INDEX([8]Orçamento!$C$8:$ZZ$8,1,MATCH(CK$1,[8]Orçamento!$C$1:$ZZ$1,0)),0)</f>
        <v>562118.90668300004</v>
      </c>
      <c r="CL8" s="7">
        <f>IFERROR(INDEX([1]Orçamento!$C$8:$ZZ$8,1,MATCH(CL$1,[1]Orçamento!$C$1:$ZZ$1,0)),0) + IFERROR(INDEX([2]Orçamento!$C$8:$ZZ$8,1,MATCH(CL$1,[2]Orçamento!$C$1:$ZZ$1,0)),0) + IFERROR(INDEX([3]Orçamento!$C$8:$ZZ$8,1,MATCH(CL$1,[3]Orçamento!$C$1:$ZZ$1,0)),0) + IFERROR(INDEX([4]Orçamento!$C$8:$ZZ$8,1,MATCH(CL$1,[4]Orçamento!$C$1:$ZZ$1,0)),0) + IFERROR(INDEX([5]Orçamento!$C$8:$ZZ$8,1,MATCH(CL$1,[5]Orçamento!$C$1:$ZZ$1,0)),0) + IFERROR(INDEX([6]Orçamento!$C$8:$ZZ$8,1,MATCH(CL$1,[6]Orçamento!$C$1:$ZZ$1,0)),0) + IFERROR(INDEX([7]Orçamento!$C$8:$ZZ$8,1,MATCH(CL$1,[7]Orçamento!$C$1:$ZZ$1,0)),0) + IFERROR(INDEX([8]Orçamento!$C$8:$ZZ$8,1,MATCH(CL$1,[8]Orçamento!$C$1:$ZZ$1,0)),0)</f>
        <v>562118.90668300004</v>
      </c>
      <c r="CM8" s="7">
        <f>IFERROR(INDEX([1]Orçamento!$C$8:$ZZ$8,1,MATCH(CM$1,[1]Orçamento!$C$1:$ZZ$1,0)),0) + IFERROR(INDEX([2]Orçamento!$C$8:$ZZ$8,1,MATCH(CM$1,[2]Orçamento!$C$1:$ZZ$1,0)),0) + IFERROR(INDEX([3]Orçamento!$C$8:$ZZ$8,1,MATCH(CM$1,[3]Orçamento!$C$1:$ZZ$1,0)),0) + IFERROR(INDEX([4]Orçamento!$C$8:$ZZ$8,1,MATCH(CM$1,[4]Orçamento!$C$1:$ZZ$1,0)),0) + IFERROR(INDEX([5]Orçamento!$C$8:$ZZ$8,1,MATCH(CM$1,[5]Orçamento!$C$1:$ZZ$1,0)),0) + IFERROR(INDEX([6]Orçamento!$C$8:$ZZ$8,1,MATCH(CM$1,[6]Orçamento!$C$1:$ZZ$1,0)),0) + IFERROR(INDEX([7]Orçamento!$C$8:$ZZ$8,1,MATCH(CM$1,[7]Orçamento!$C$1:$ZZ$1,0)),0) + IFERROR(INDEX([8]Orçamento!$C$8:$ZZ$8,1,MATCH(CM$1,[8]Orçamento!$C$1:$ZZ$1,0)),0)</f>
        <v>545233.45183300006</v>
      </c>
      <c r="CN8" s="7">
        <f>IFERROR(INDEX([1]Orçamento!$C$8:$ZZ$8,1,MATCH(CN$1,[1]Orçamento!$C$1:$ZZ$1,0)),0) + IFERROR(INDEX([2]Orçamento!$C$8:$ZZ$8,1,MATCH(CN$1,[2]Orçamento!$C$1:$ZZ$1,0)),0) + IFERROR(INDEX([3]Orçamento!$C$8:$ZZ$8,1,MATCH(CN$1,[3]Orçamento!$C$1:$ZZ$1,0)),0) + IFERROR(INDEX([4]Orçamento!$C$8:$ZZ$8,1,MATCH(CN$1,[4]Orçamento!$C$1:$ZZ$1,0)),0) + IFERROR(INDEX([5]Orçamento!$C$8:$ZZ$8,1,MATCH(CN$1,[5]Orçamento!$C$1:$ZZ$1,0)),0) + IFERROR(INDEX([6]Orçamento!$C$8:$ZZ$8,1,MATCH(CN$1,[6]Orçamento!$C$1:$ZZ$1,0)),0) + IFERROR(INDEX([7]Orçamento!$C$8:$ZZ$8,1,MATCH(CN$1,[7]Orçamento!$C$1:$ZZ$1,0)),0) + IFERROR(INDEX([8]Orçamento!$C$8:$ZZ$8,1,MATCH(CN$1,[8]Orçamento!$C$1:$ZZ$1,0)),0)</f>
        <v>562118.90668300004</v>
      </c>
      <c r="CO8" s="7">
        <f>IFERROR(INDEX([1]Orçamento!$C$8:$ZZ$8,1,MATCH(CO$1,[1]Orçamento!$C$1:$ZZ$1,0)),0) + IFERROR(INDEX([2]Orçamento!$C$8:$ZZ$8,1,MATCH(CO$1,[2]Orçamento!$C$1:$ZZ$1,0)),0) + IFERROR(INDEX([3]Orçamento!$C$8:$ZZ$8,1,MATCH(CO$1,[3]Orçamento!$C$1:$ZZ$1,0)),0) + IFERROR(INDEX([4]Orçamento!$C$8:$ZZ$8,1,MATCH(CO$1,[4]Orçamento!$C$1:$ZZ$1,0)),0) + IFERROR(INDEX([5]Orçamento!$C$8:$ZZ$8,1,MATCH(CO$1,[5]Orçamento!$C$1:$ZZ$1,0)),0) + IFERROR(INDEX([6]Orçamento!$C$8:$ZZ$8,1,MATCH(CO$1,[6]Orçamento!$C$1:$ZZ$1,0)),0) + IFERROR(INDEX([7]Orçamento!$C$8:$ZZ$8,1,MATCH(CO$1,[7]Orçamento!$C$1:$ZZ$1,0)),0) + IFERROR(INDEX([8]Orçamento!$C$8:$ZZ$8,1,MATCH(CO$1,[8]Orçamento!$C$1:$ZZ$1,0)),0)</f>
        <v>562118.90668300004</v>
      </c>
      <c r="CP8" s="7">
        <f>IFERROR(INDEX([1]Orçamento!$C$8:$ZZ$8,1,MATCH(CP$1,[1]Orçamento!$C$1:$ZZ$1,0)),0) + IFERROR(INDEX([2]Orçamento!$C$8:$ZZ$8,1,MATCH(CP$1,[2]Orçamento!$C$1:$ZZ$1,0)),0) + IFERROR(INDEX([3]Orçamento!$C$8:$ZZ$8,1,MATCH(CP$1,[3]Orçamento!$C$1:$ZZ$1,0)),0) + IFERROR(INDEX([4]Orçamento!$C$8:$ZZ$8,1,MATCH(CP$1,[4]Orçamento!$C$1:$ZZ$1,0)),0) + IFERROR(INDEX([5]Orçamento!$C$8:$ZZ$8,1,MATCH(CP$1,[5]Orçamento!$C$1:$ZZ$1,0)),0) + IFERROR(INDEX([6]Orçamento!$C$8:$ZZ$8,1,MATCH(CP$1,[6]Orçamento!$C$1:$ZZ$1,0)),0) + IFERROR(INDEX([7]Orçamento!$C$8:$ZZ$8,1,MATCH(CP$1,[7]Orçamento!$C$1:$ZZ$1,0)),0) + IFERROR(INDEX([8]Orçamento!$C$8:$ZZ$8,1,MATCH(CP$1,[8]Orçamento!$C$1:$ZZ$1,0)),0)</f>
        <v>562118.90668300004</v>
      </c>
      <c r="CQ8" s="7">
        <f>IFERROR(INDEX([1]Orçamento!$C$8:$ZZ$8,1,MATCH(CQ$1,[1]Orçamento!$C$1:$ZZ$1,0)),0) + IFERROR(INDEX([2]Orçamento!$C$8:$ZZ$8,1,MATCH(CQ$1,[2]Orçamento!$C$1:$ZZ$1,0)),0) + IFERROR(INDEX([3]Orçamento!$C$8:$ZZ$8,1,MATCH(CQ$1,[3]Orçamento!$C$1:$ZZ$1,0)),0) + IFERROR(INDEX([4]Orçamento!$C$8:$ZZ$8,1,MATCH(CQ$1,[4]Orçamento!$C$1:$ZZ$1,0)),0) + IFERROR(INDEX([5]Orçamento!$C$8:$ZZ$8,1,MATCH(CQ$1,[5]Orçamento!$C$1:$ZZ$1,0)),0) + IFERROR(INDEX([6]Orçamento!$C$8:$ZZ$8,1,MATCH(CQ$1,[6]Orçamento!$C$1:$ZZ$1,0)),0) + IFERROR(INDEX([7]Orçamento!$C$8:$ZZ$8,1,MATCH(CQ$1,[7]Orçamento!$C$1:$ZZ$1,0)),0) + IFERROR(INDEX([8]Orçamento!$C$8:$ZZ$8,1,MATCH(CQ$1,[8]Orçamento!$C$1:$ZZ$1,0)),0)</f>
        <v>562118.90668300004</v>
      </c>
      <c r="CR8" s="7">
        <f>IFERROR(INDEX([1]Orçamento!$C$8:$ZZ$8,1,MATCH(CR$1,[1]Orçamento!$C$1:$ZZ$1,0)),0) + IFERROR(INDEX([2]Orçamento!$C$8:$ZZ$8,1,MATCH(CR$1,[2]Orçamento!$C$1:$ZZ$1,0)),0) + IFERROR(INDEX([3]Orçamento!$C$8:$ZZ$8,1,MATCH(CR$1,[3]Orçamento!$C$1:$ZZ$1,0)),0) + IFERROR(INDEX([4]Orçamento!$C$8:$ZZ$8,1,MATCH(CR$1,[4]Orçamento!$C$1:$ZZ$1,0)),0) + IFERROR(INDEX([5]Orçamento!$C$8:$ZZ$8,1,MATCH(CR$1,[5]Orçamento!$C$1:$ZZ$1,0)),0) + IFERROR(INDEX([6]Orçamento!$C$8:$ZZ$8,1,MATCH(CR$1,[6]Orçamento!$C$1:$ZZ$1,0)),0) + IFERROR(INDEX([7]Orçamento!$C$8:$ZZ$8,1,MATCH(CR$1,[7]Orçamento!$C$1:$ZZ$1,0)),0) + IFERROR(INDEX([8]Orçamento!$C$8:$ZZ$8,1,MATCH(CR$1,[8]Orçamento!$C$1:$ZZ$1,0)),0)</f>
        <v>562118.90668300004</v>
      </c>
      <c r="CS8" s="7">
        <f>IFERROR(INDEX([1]Orçamento!$C$8:$ZZ$8,1,MATCH(CS$1,[1]Orçamento!$C$1:$ZZ$1,0)),0) + IFERROR(INDEX([2]Orçamento!$C$8:$ZZ$8,1,MATCH(CS$1,[2]Orçamento!$C$1:$ZZ$1,0)),0) + IFERROR(INDEX([3]Orçamento!$C$8:$ZZ$8,1,MATCH(CS$1,[3]Orçamento!$C$1:$ZZ$1,0)),0) + IFERROR(INDEX([4]Orçamento!$C$8:$ZZ$8,1,MATCH(CS$1,[4]Orçamento!$C$1:$ZZ$1,0)),0) + IFERROR(INDEX([5]Orçamento!$C$8:$ZZ$8,1,MATCH(CS$1,[5]Orçamento!$C$1:$ZZ$1,0)),0) + IFERROR(INDEX([6]Orçamento!$C$8:$ZZ$8,1,MATCH(CS$1,[6]Orçamento!$C$1:$ZZ$1,0)),0) + IFERROR(INDEX([7]Orçamento!$C$8:$ZZ$8,1,MATCH(CS$1,[7]Orçamento!$C$1:$ZZ$1,0)),0) + IFERROR(INDEX([8]Orçamento!$C$8:$ZZ$8,1,MATCH(CS$1,[8]Orçamento!$C$1:$ZZ$1,0)),0)</f>
        <v>562118.90668300004</v>
      </c>
      <c r="CT8" s="7">
        <f>IFERROR(INDEX([1]Orçamento!$C$8:$ZZ$8,1,MATCH(CT$1,[1]Orçamento!$C$1:$ZZ$1,0)),0) + IFERROR(INDEX([2]Orçamento!$C$8:$ZZ$8,1,MATCH(CT$1,[2]Orçamento!$C$1:$ZZ$1,0)),0) + IFERROR(INDEX([3]Orçamento!$C$8:$ZZ$8,1,MATCH(CT$1,[3]Orçamento!$C$1:$ZZ$1,0)),0) + IFERROR(INDEX([4]Orçamento!$C$8:$ZZ$8,1,MATCH(CT$1,[4]Orçamento!$C$1:$ZZ$1,0)),0) + IFERROR(INDEX([5]Orçamento!$C$8:$ZZ$8,1,MATCH(CT$1,[5]Orçamento!$C$1:$ZZ$1,0)),0) + IFERROR(INDEX([6]Orçamento!$C$8:$ZZ$8,1,MATCH(CT$1,[6]Orçamento!$C$1:$ZZ$1,0)),0) + IFERROR(INDEX([7]Orçamento!$C$8:$ZZ$8,1,MATCH(CT$1,[7]Orçamento!$C$1:$ZZ$1,0)),0) + IFERROR(INDEX([8]Orçamento!$C$8:$ZZ$8,1,MATCH(CT$1,[8]Orçamento!$C$1:$ZZ$1,0)),0)</f>
        <v>0</v>
      </c>
      <c r="CU8" s="7">
        <f>IFERROR(INDEX([1]Orçamento!$C$8:$ZZ$8,1,MATCH(CU$1,[1]Orçamento!$C$1:$ZZ$1,0)),0) + IFERROR(INDEX([2]Orçamento!$C$8:$ZZ$8,1,MATCH(CU$1,[2]Orçamento!$C$1:$ZZ$1,0)),0) + IFERROR(INDEX([3]Orçamento!$C$8:$ZZ$8,1,MATCH(CU$1,[3]Orçamento!$C$1:$ZZ$1,0)),0) + IFERROR(INDEX([4]Orçamento!$C$8:$ZZ$8,1,MATCH(CU$1,[4]Orçamento!$C$1:$ZZ$1,0)),0) + IFERROR(INDEX([5]Orçamento!$C$8:$ZZ$8,1,MATCH(CU$1,[5]Orçamento!$C$1:$ZZ$1,0)),0) + IFERROR(INDEX([6]Orçamento!$C$8:$ZZ$8,1,MATCH(CU$1,[6]Orçamento!$C$1:$ZZ$1,0)),0) + IFERROR(INDEX([7]Orçamento!$C$8:$ZZ$8,1,MATCH(CU$1,[7]Orçamento!$C$1:$ZZ$1,0)),0) + IFERROR(INDEX([8]Orçamento!$C$8:$ZZ$8,1,MATCH(CU$1,[8]Orçamento!$C$1:$ZZ$1,0)),0)</f>
        <v>540939.63490880001</v>
      </c>
      <c r="CV8" s="7">
        <f>IFERROR(INDEX([1]Orçamento!$C$8:$ZZ$8,1,MATCH(CV$1,[1]Orçamento!$C$1:$ZZ$1,0)),0) + IFERROR(INDEX([2]Orçamento!$C$8:$ZZ$8,1,MATCH(CV$1,[2]Orçamento!$C$1:$ZZ$1,0)),0) + IFERROR(INDEX([3]Orçamento!$C$8:$ZZ$8,1,MATCH(CV$1,[3]Orçamento!$C$1:$ZZ$1,0)),0) + IFERROR(INDEX([4]Orçamento!$C$8:$ZZ$8,1,MATCH(CV$1,[4]Orçamento!$C$1:$ZZ$1,0)),0) + IFERROR(INDEX([5]Orçamento!$C$8:$ZZ$8,1,MATCH(CV$1,[5]Orçamento!$C$1:$ZZ$1,0)),0) + IFERROR(INDEX([6]Orçamento!$C$8:$ZZ$8,1,MATCH(CV$1,[6]Orçamento!$C$1:$ZZ$1,0)),0) + IFERROR(INDEX([7]Orçamento!$C$8:$ZZ$8,1,MATCH(CV$1,[7]Orçamento!$C$1:$ZZ$1,0)),0) + IFERROR(INDEX([8]Orçamento!$C$8:$ZZ$8,1,MATCH(CV$1,[8]Orçamento!$C$1:$ZZ$1,0)),0)</f>
        <v>540939.63490880001</v>
      </c>
      <c r="CW8" s="7">
        <f>IFERROR(INDEX([1]Orçamento!$C$8:$ZZ$8,1,MATCH(CW$1,[1]Orçamento!$C$1:$ZZ$1,0)),0) + IFERROR(INDEX([2]Orçamento!$C$8:$ZZ$8,1,MATCH(CW$1,[2]Orçamento!$C$1:$ZZ$1,0)),0) + IFERROR(INDEX([3]Orçamento!$C$8:$ZZ$8,1,MATCH(CW$1,[3]Orçamento!$C$1:$ZZ$1,0)),0) + IFERROR(INDEX([4]Orçamento!$C$8:$ZZ$8,1,MATCH(CW$1,[4]Orçamento!$C$1:$ZZ$1,0)),0) + IFERROR(INDEX([5]Orçamento!$C$8:$ZZ$8,1,MATCH(CW$1,[5]Orçamento!$C$1:$ZZ$1,0)),0) + IFERROR(INDEX([6]Orçamento!$C$8:$ZZ$8,1,MATCH(CW$1,[6]Orçamento!$C$1:$ZZ$1,0)),0) + IFERROR(INDEX([7]Orçamento!$C$8:$ZZ$8,1,MATCH(CW$1,[7]Orçamento!$C$1:$ZZ$1,0)),0) + IFERROR(INDEX([8]Orçamento!$C$8:$ZZ$8,1,MATCH(CW$1,[8]Orçamento!$C$1:$ZZ$1,0)),0)</f>
        <v>540939.63490880001</v>
      </c>
      <c r="CX8" s="7">
        <f>IFERROR(INDEX([1]Orçamento!$C$8:$ZZ$8,1,MATCH(CX$1,[1]Orçamento!$C$1:$ZZ$1,0)),0) + IFERROR(INDEX([2]Orçamento!$C$8:$ZZ$8,1,MATCH(CX$1,[2]Orçamento!$C$1:$ZZ$1,0)),0) + IFERROR(INDEX([3]Orçamento!$C$8:$ZZ$8,1,MATCH(CX$1,[3]Orçamento!$C$1:$ZZ$1,0)),0) + IFERROR(INDEX([4]Orçamento!$C$8:$ZZ$8,1,MATCH(CX$1,[4]Orçamento!$C$1:$ZZ$1,0)),0) + IFERROR(INDEX([5]Orçamento!$C$8:$ZZ$8,1,MATCH(CX$1,[5]Orçamento!$C$1:$ZZ$1,0)),0) + IFERROR(INDEX([6]Orçamento!$C$8:$ZZ$8,1,MATCH(CX$1,[6]Orçamento!$C$1:$ZZ$1,0)),0) + IFERROR(INDEX([7]Orçamento!$C$8:$ZZ$8,1,MATCH(CX$1,[7]Orçamento!$C$1:$ZZ$1,0)),0) + IFERROR(INDEX([8]Orçamento!$C$8:$ZZ$8,1,MATCH(CX$1,[8]Orçamento!$C$1:$ZZ$1,0)),0)</f>
        <v>540939.63490880001</v>
      </c>
      <c r="CY8" s="7">
        <f>IFERROR(INDEX([1]Orçamento!$C$8:$ZZ$8,1,MATCH(CY$1,[1]Orçamento!$C$1:$ZZ$1,0)),0) + IFERROR(INDEX([2]Orçamento!$C$8:$ZZ$8,1,MATCH(CY$1,[2]Orçamento!$C$1:$ZZ$1,0)),0) + IFERROR(INDEX([3]Orçamento!$C$8:$ZZ$8,1,MATCH(CY$1,[3]Orçamento!$C$1:$ZZ$1,0)),0) + IFERROR(INDEX([4]Orçamento!$C$8:$ZZ$8,1,MATCH(CY$1,[4]Orçamento!$C$1:$ZZ$1,0)),0) + IFERROR(INDEX([5]Orçamento!$C$8:$ZZ$8,1,MATCH(CY$1,[5]Orçamento!$C$1:$ZZ$1,0)),0) + IFERROR(INDEX([6]Orçamento!$C$8:$ZZ$8,1,MATCH(CY$1,[6]Orçamento!$C$1:$ZZ$1,0)),0) + IFERROR(INDEX([7]Orçamento!$C$8:$ZZ$8,1,MATCH(CY$1,[7]Orçamento!$C$1:$ZZ$1,0)),0) + IFERROR(INDEX([8]Orçamento!$C$8:$ZZ$8,1,MATCH(CY$1,[8]Orçamento!$C$1:$ZZ$1,0)),0)</f>
        <v>540939.63490880001</v>
      </c>
      <c r="CZ8" s="7">
        <f>IFERROR(INDEX([1]Orçamento!$C$8:$ZZ$8,1,MATCH(CZ$1,[1]Orçamento!$C$1:$ZZ$1,0)),0) + IFERROR(INDEX([2]Orçamento!$C$8:$ZZ$8,1,MATCH(CZ$1,[2]Orçamento!$C$1:$ZZ$1,0)),0) + IFERROR(INDEX([3]Orçamento!$C$8:$ZZ$8,1,MATCH(CZ$1,[3]Orçamento!$C$1:$ZZ$1,0)),0) + IFERROR(INDEX([4]Orçamento!$C$8:$ZZ$8,1,MATCH(CZ$1,[4]Orçamento!$C$1:$ZZ$1,0)),0) + IFERROR(INDEX([5]Orçamento!$C$8:$ZZ$8,1,MATCH(CZ$1,[5]Orçamento!$C$1:$ZZ$1,0)),0) + IFERROR(INDEX([6]Orçamento!$C$8:$ZZ$8,1,MATCH(CZ$1,[6]Orçamento!$C$1:$ZZ$1,0)),0) + IFERROR(INDEX([7]Orçamento!$C$8:$ZZ$8,1,MATCH(CZ$1,[7]Orçamento!$C$1:$ZZ$1,0)),0) + IFERROR(INDEX([8]Orçamento!$C$8:$ZZ$8,1,MATCH(CZ$1,[8]Orçamento!$C$1:$ZZ$1,0)),0)</f>
        <v>540939.63490880001</v>
      </c>
      <c r="DA8" s="7">
        <f>IFERROR(INDEX([1]Orçamento!$C$8:$ZZ$8,1,MATCH(DA$1,[1]Orçamento!$C$1:$ZZ$1,0)),0) + IFERROR(INDEX([2]Orçamento!$C$8:$ZZ$8,1,MATCH(DA$1,[2]Orçamento!$C$1:$ZZ$1,0)),0) + IFERROR(INDEX([3]Orçamento!$C$8:$ZZ$8,1,MATCH(DA$1,[3]Orçamento!$C$1:$ZZ$1,0)),0) + IFERROR(INDEX([4]Orçamento!$C$8:$ZZ$8,1,MATCH(DA$1,[4]Orçamento!$C$1:$ZZ$1,0)),0) + IFERROR(INDEX([5]Orçamento!$C$8:$ZZ$8,1,MATCH(DA$1,[5]Orçamento!$C$1:$ZZ$1,0)),0) + IFERROR(INDEX([6]Orçamento!$C$8:$ZZ$8,1,MATCH(DA$1,[6]Orçamento!$C$1:$ZZ$1,0)),0) + IFERROR(INDEX([7]Orçamento!$C$8:$ZZ$8,1,MATCH(DA$1,[7]Orçamento!$C$1:$ZZ$1,0)),0) + IFERROR(INDEX([8]Orçamento!$C$8:$ZZ$8,1,MATCH(DA$1,[8]Orçamento!$C$1:$ZZ$1,0)),0)</f>
        <v>540939.63490880001</v>
      </c>
      <c r="DB8" s="7">
        <f>IFERROR(INDEX([1]Orçamento!$C$8:$ZZ$8,1,MATCH(DB$1,[1]Orçamento!$C$1:$ZZ$1,0)),0) + IFERROR(INDEX([2]Orçamento!$C$8:$ZZ$8,1,MATCH(DB$1,[2]Orçamento!$C$1:$ZZ$1,0)),0) + IFERROR(INDEX([3]Orçamento!$C$8:$ZZ$8,1,MATCH(DB$1,[3]Orçamento!$C$1:$ZZ$1,0)),0) + IFERROR(INDEX([4]Orçamento!$C$8:$ZZ$8,1,MATCH(DB$1,[4]Orçamento!$C$1:$ZZ$1,0)),0) + IFERROR(INDEX([5]Orçamento!$C$8:$ZZ$8,1,MATCH(DB$1,[5]Orçamento!$C$1:$ZZ$1,0)),0) + IFERROR(INDEX([6]Orçamento!$C$8:$ZZ$8,1,MATCH(DB$1,[6]Orçamento!$C$1:$ZZ$1,0)),0) + IFERROR(INDEX([7]Orçamento!$C$8:$ZZ$8,1,MATCH(DB$1,[7]Orçamento!$C$1:$ZZ$1,0)),0) + IFERROR(INDEX([8]Orçamento!$C$8:$ZZ$8,1,MATCH(DB$1,[8]Orçamento!$C$1:$ZZ$1,0)),0)</f>
        <v>540939.63490880001</v>
      </c>
      <c r="DC8" s="7">
        <f>IFERROR(INDEX([1]Orçamento!$C$8:$ZZ$8,1,MATCH(DC$1,[1]Orçamento!$C$1:$ZZ$1,0)),0) + IFERROR(INDEX([2]Orçamento!$C$8:$ZZ$8,1,MATCH(DC$1,[2]Orçamento!$C$1:$ZZ$1,0)),0) + IFERROR(INDEX([3]Orçamento!$C$8:$ZZ$8,1,MATCH(DC$1,[3]Orçamento!$C$1:$ZZ$1,0)),0) + IFERROR(INDEX([4]Orçamento!$C$8:$ZZ$8,1,MATCH(DC$1,[4]Orçamento!$C$1:$ZZ$1,0)),0) + IFERROR(INDEX([5]Orçamento!$C$8:$ZZ$8,1,MATCH(DC$1,[5]Orçamento!$C$1:$ZZ$1,0)),0) + IFERROR(INDEX([6]Orçamento!$C$8:$ZZ$8,1,MATCH(DC$1,[6]Orçamento!$C$1:$ZZ$1,0)),0) + IFERROR(INDEX([7]Orçamento!$C$8:$ZZ$8,1,MATCH(DC$1,[7]Orçamento!$C$1:$ZZ$1,0)),0) + IFERROR(INDEX([8]Orçamento!$C$8:$ZZ$8,1,MATCH(DC$1,[8]Orçamento!$C$1:$ZZ$1,0)),0)</f>
        <v>540939.63490880001</v>
      </c>
      <c r="DD8" s="7">
        <f>IFERROR(INDEX([1]Orçamento!$C$8:$ZZ$8,1,MATCH(DD$1,[1]Orçamento!$C$1:$ZZ$1,0)),0) + IFERROR(INDEX([2]Orçamento!$C$8:$ZZ$8,1,MATCH(DD$1,[2]Orçamento!$C$1:$ZZ$1,0)),0) + IFERROR(INDEX([3]Orçamento!$C$8:$ZZ$8,1,MATCH(DD$1,[3]Orçamento!$C$1:$ZZ$1,0)),0) + IFERROR(INDEX([4]Orçamento!$C$8:$ZZ$8,1,MATCH(DD$1,[4]Orçamento!$C$1:$ZZ$1,0)),0) + IFERROR(INDEX([5]Orçamento!$C$8:$ZZ$8,1,MATCH(DD$1,[5]Orçamento!$C$1:$ZZ$1,0)),0) + IFERROR(INDEX([6]Orçamento!$C$8:$ZZ$8,1,MATCH(DD$1,[6]Orçamento!$C$1:$ZZ$1,0)),0) + IFERROR(INDEX([7]Orçamento!$C$8:$ZZ$8,1,MATCH(DD$1,[7]Orçamento!$C$1:$ZZ$1,0)),0) + IFERROR(INDEX([8]Orçamento!$C$8:$ZZ$8,1,MATCH(DD$1,[8]Orçamento!$C$1:$ZZ$1,0)),0)</f>
        <v>540939.63490880001</v>
      </c>
      <c r="DE8" s="7">
        <f>IFERROR(INDEX([1]Orçamento!$C$8:$ZZ$8,1,MATCH(DE$1,[1]Orçamento!$C$1:$ZZ$1,0)),0) + IFERROR(INDEX([2]Orçamento!$C$8:$ZZ$8,1,MATCH(DE$1,[2]Orçamento!$C$1:$ZZ$1,0)),0) + IFERROR(INDEX([3]Orçamento!$C$8:$ZZ$8,1,MATCH(DE$1,[3]Orçamento!$C$1:$ZZ$1,0)),0) + IFERROR(INDEX([4]Orçamento!$C$8:$ZZ$8,1,MATCH(DE$1,[4]Orçamento!$C$1:$ZZ$1,0)),0) + IFERROR(INDEX([5]Orçamento!$C$8:$ZZ$8,1,MATCH(DE$1,[5]Orçamento!$C$1:$ZZ$1,0)),0) + IFERROR(INDEX([6]Orçamento!$C$8:$ZZ$8,1,MATCH(DE$1,[6]Orçamento!$C$1:$ZZ$1,0)),0) + IFERROR(INDEX([7]Orçamento!$C$8:$ZZ$8,1,MATCH(DE$1,[7]Orçamento!$C$1:$ZZ$1,0)),0) + IFERROR(INDEX([8]Orçamento!$C$8:$ZZ$8,1,MATCH(DE$1,[8]Orçamento!$C$1:$ZZ$1,0)),0)</f>
        <v>540939.63490880001</v>
      </c>
      <c r="DF8" s="7">
        <f>IFERROR(INDEX([1]Orçamento!$C$8:$ZZ$8,1,MATCH(DF$1,[1]Orçamento!$C$1:$ZZ$1,0)),0) + IFERROR(INDEX([2]Orçamento!$C$8:$ZZ$8,1,MATCH(DF$1,[2]Orçamento!$C$1:$ZZ$1,0)),0) + IFERROR(INDEX([3]Orçamento!$C$8:$ZZ$8,1,MATCH(DF$1,[3]Orçamento!$C$1:$ZZ$1,0)),0) + IFERROR(INDEX([4]Orçamento!$C$8:$ZZ$8,1,MATCH(DF$1,[4]Orçamento!$C$1:$ZZ$1,0)),0) + IFERROR(INDEX([5]Orçamento!$C$8:$ZZ$8,1,MATCH(DF$1,[5]Orçamento!$C$1:$ZZ$1,0)),0) + IFERROR(INDEX([6]Orçamento!$C$8:$ZZ$8,1,MATCH(DF$1,[6]Orçamento!$C$1:$ZZ$1,0)),0) + IFERROR(INDEX([7]Orçamento!$C$8:$ZZ$8,1,MATCH(DF$1,[7]Orçamento!$C$1:$ZZ$1,0)),0) + IFERROR(INDEX([8]Orçamento!$C$8:$ZZ$8,1,MATCH(DF$1,[8]Orçamento!$C$1:$ZZ$1,0)),0)</f>
        <v>540939.63490880001</v>
      </c>
      <c r="DG8" s="9"/>
    </row>
    <row r="10" spans="1:112" ht="15.75" thickBot="1" x14ac:dyDescent="0.3">
      <c r="W10" s="53" t="s">
        <v>46</v>
      </c>
      <c r="AD10" s="53" t="s">
        <v>47</v>
      </c>
      <c r="AJ10" s="53" t="s">
        <v>48</v>
      </c>
      <c r="AQ10" s="53" t="s">
        <v>49</v>
      </c>
      <c r="AW10" s="53" t="s">
        <v>50</v>
      </c>
      <c r="BD10" s="53" t="s">
        <v>51</v>
      </c>
      <c r="BJ10" s="53" t="s">
        <v>52</v>
      </c>
    </row>
    <row r="11" spans="1:112" x14ac:dyDescent="0.25">
      <c r="B11" s="28" t="s">
        <v>27</v>
      </c>
      <c r="C11" s="29" t="s">
        <v>28</v>
      </c>
      <c r="D11" s="29" t="s">
        <v>29</v>
      </c>
      <c r="E11" s="30" t="s">
        <v>30</v>
      </c>
      <c r="F11" s="30" t="s">
        <v>31</v>
      </c>
      <c r="G11" s="30" t="s">
        <v>32</v>
      </c>
      <c r="H11" s="30" t="s">
        <v>33</v>
      </c>
      <c r="I11" s="30" t="s">
        <v>34</v>
      </c>
      <c r="J11" s="30" t="s">
        <v>35</v>
      </c>
      <c r="K11" s="30" t="s">
        <v>36</v>
      </c>
      <c r="L11" s="31" t="s">
        <v>37</v>
      </c>
    </row>
    <row r="12" spans="1:112" x14ac:dyDescent="0.25">
      <c r="B12" s="32" t="s">
        <v>38</v>
      </c>
      <c r="C12" s="33">
        <f>F1</f>
        <v>46327</v>
      </c>
      <c r="D12" s="34">
        <f>-'[9]Custo investimento Lab'!$D$7:$E$7</f>
        <v>-472262.55749999994</v>
      </c>
      <c r="E12" s="35">
        <f>T5</f>
        <v>-423532.36750000023</v>
      </c>
      <c r="F12" s="36"/>
      <c r="G12" s="36"/>
      <c r="H12" s="36"/>
      <c r="I12" s="36"/>
      <c r="J12" s="36"/>
      <c r="K12" s="36"/>
      <c r="L12" s="37"/>
    </row>
    <row r="13" spans="1:112" x14ac:dyDescent="0.25">
      <c r="B13" s="38"/>
      <c r="C13" s="39"/>
      <c r="D13" s="40"/>
      <c r="E13" s="41">
        <f>S5</f>
        <v>-20516.561250000002</v>
      </c>
      <c r="F13" s="36"/>
      <c r="G13" s="36"/>
      <c r="H13" s="36"/>
      <c r="I13" s="36"/>
      <c r="J13" s="36"/>
      <c r="K13" s="36"/>
      <c r="L13" s="37"/>
    </row>
    <row r="14" spans="1:112" x14ac:dyDescent="0.25">
      <c r="B14" s="32" t="s">
        <v>39</v>
      </c>
      <c r="C14" s="33">
        <f>W1</f>
        <v>46813</v>
      </c>
      <c r="D14" s="34">
        <f>W5</f>
        <v>-825144.89781250001</v>
      </c>
      <c r="E14" s="42"/>
      <c r="F14" s="35"/>
      <c r="G14" s="36"/>
      <c r="H14" s="36"/>
      <c r="I14" s="36"/>
      <c r="J14" s="36"/>
      <c r="K14" s="36"/>
      <c r="L14" s="37"/>
    </row>
    <row r="15" spans="1:112" x14ac:dyDescent="0.25">
      <c r="B15" s="32" t="s">
        <v>40</v>
      </c>
      <c r="C15" s="33">
        <f>AD1</f>
        <v>47027</v>
      </c>
      <c r="D15" s="34">
        <f>AD5</f>
        <v>-831468.45906250004</v>
      </c>
      <c r="E15" s="36"/>
      <c r="F15" s="35">
        <f>AG5</f>
        <v>-2330135.0656250003</v>
      </c>
      <c r="G15" s="36"/>
      <c r="H15" s="36"/>
      <c r="I15" s="36"/>
      <c r="J15" s="36"/>
      <c r="K15" s="36"/>
      <c r="L15" s="37"/>
    </row>
    <row r="16" spans="1:112" x14ac:dyDescent="0.25">
      <c r="B16" s="32"/>
      <c r="C16" s="33"/>
      <c r="D16" s="34"/>
      <c r="E16" s="36"/>
      <c r="F16" s="41">
        <f>AF5</f>
        <v>-35978.198437500032</v>
      </c>
      <c r="G16" s="36"/>
      <c r="H16" s="36"/>
      <c r="I16" s="36"/>
      <c r="J16" s="36"/>
      <c r="K16" s="36"/>
      <c r="L16" s="37"/>
    </row>
    <row r="17" spans="2:12" x14ac:dyDescent="0.25">
      <c r="B17" s="32" t="s">
        <v>41</v>
      </c>
      <c r="C17" s="33">
        <f>AJ1</f>
        <v>47178</v>
      </c>
      <c r="D17" s="34">
        <f>AJ5</f>
        <v>-798766.04956250009</v>
      </c>
      <c r="E17" s="36"/>
      <c r="F17" s="36"/>
      <c r="G17" s="36"/>
      <c r="H17" s="36"/>
      <c r="I17" s="36"/>
      <c r="J17" s="36"/>
      <c r="K17" s="36"/>
      <c r="L17" s="37"/>
    </row>
    <row r="18" spans="2:12" x14ac:dyDescent="0.25">
      <c r="B18" s="32" t="s">
        <v>42</v>
      </c>
      <c r="C18" s="33">
        <f>AQ1</f>
        <v>47392</v>
      </c>
      <c r="D18" s="34">
        <f>AQ5</f>
        <v>-805389.6108125</v>
      </c>
      <c r="E18" s="36"/>
      <c r="F18" s="36"/>
      <c r="G18" s="35">
        <f>AT5</f>
        <v>-3922591.5847500004</v>
      </c>
      <c r="H18" s="36"/>
      <c r="I18" s="36"/>
      <c r="J18" s="36"/>
      <c r="K18" s="36"/>
      <c r="L18" s="37"/>
    </row>
    <row r="19" spans="2:12" x14ac:dyDescent="0.25">
      <c r="B19" s="32"/>
      <c r="C19" s="33"/>
      <c r="D19" s="34"/>
      <c r="E19" s="36"/>
      <c r="F19" s="36"/>
      <c r="G19" s="41">
        <f>AS5</f>
        <v>-9899.3501875000075</v>
      </c>
      <c r="H19" s="36"/>
      <c r="I19" s="36"/>
      <c r="J19" s="36"/>
      <c r="K19" s="36"/>
      <c r="L19" s="37"/>
    </row>
    <row r="20" spans="2:12" x14ac:dyDescent="0.25">
      <c r="B20" s="32" t="s">
        <v>43</v>
      </c>
      <c r="C20" s="33">
        <f>AW1</f>
        <v>47543</v>
      </c>
      <c r="D20" s="34">
        <f>AW5</f>
        <v>-740976.52600000007</v>
      </c>
      <c r="E20" s="36"/>
      <c r="F20" s="36"/>
      <c r="G20" s="36"/>
      <c r="H20" s="36"/>
      <c r="I20" s="36"/>
      <c r="J20" s="36"/>
      <c r="K20" s="36"/>
      <c r="L20" s="37"/>
    </row>
    <row r="21" spans="2:12" x14ac:dyDescent="0.25">
      <c r="B21" s="32" t="s">
        <v>44</v>
      </c>
      <c r="C21" s="33">
        <f>BD1</f>
        <v>47757</v>
      </c>
      <c r="D21" s="34">
        <f>BD5</f>
        <v>-747600.0872500001</v>
      </c>
      <c r="E21" s="36"/>
      <c r="F21" s="36"/>
      <c r="G21" s="36"/>
      <c r="H21" s="35">
        <f>BG5</f>
        <v>-4810154.6517500002</v>
      </c>
      <c r="I21" s="36"/>
      <c r="J21" s="36"/>
      <c r="K21" s="36"/>
      <c r="L21" s="37"/>
    </row>
    <row r="22" spans="2:12" x14ac:dyDescent="0.25">
      <c r="B22" s="32"/>
      <c r="C22" s="33"/>
      <c r="D22" s="34"/>
      <c r="E22" s="36"/>
      <c r="F22" s="36"/>
      <c r="G22" s="36"/>
      <c r="H22" s="41">
        <f>BF5</f>
        <v>47890.173375000013</v>
      </c>
      <c r="I22" s="36"/>
      <c r="J22" s="36"/>
      <c r="K22" s="36"/>
      <c r="L22" s="37"/>
    </row>
    <row r="23" spans="2:12" x14ac:dyDescent="0.25">
      <c r="B23" s="32" t="s">
        <v>45</v>
      </c>
      <c r="C23" s="33">
        <f>BJ1</f>
        <v>47908</v>
      </c>
      <c r="D23" s="34">
        <f>BJ5</f>
        <v>-647540.79015000013</v>
      </c>
      <c r="E23" s="36"/>
      <c r="F23" s="36"/>
      <c r="G23" s="36"/>
      <c r="H23" s="36"/>
      <c r="I23" s="35">
        <f>BT5</f>
        <v>-3698359.4855500008</v>
      </c>
      <c r="J23" s="35">
        <f>CG5</f>
        <v>-59308.818360001664</v>
      </c>
      <c r="K23" s="35">
        <f>CT5</f>
        <v>4841352.2562939962</v>
      </c>
      <c r="L23" s="43">
        <f>DG5</f>
        <v>9890844.1373883933</v>
      </c>
    </row>
    <row r="24" spans="2:12" x14ac:dyDescent="0.25">
      <c r="B24" s="32"/>
      <c r="C24" s="33"/>
      <c r="D24" s="34"/>
      <c r="E24" s="36"/>
      <c r="F24" s="36"/>
      <c r="G24" s="36"/>
      <c r="H24" s="36"/>
      <c r="I24" s="41">
        <f>BS5</f>
        <v>166741.30859999981</v>
      </c>
      <c r="J24" s="41">
        <f>CF5</f>
        <v>301351.02736999997</v>
      </c>
      <c r="K24" s="41">
        <f>CS5</f>
        <v>410666.09331699985</v>
      </c>
      <c r="L24" s="44">
        <f>DF5</f>
        <v>420790.99009119987</v>
      </c>
    </row>
    <row r="25" spans="2:12" ht="15.75" thickBot="1" x14ac:dyDescent="0.3">
      <c r="B25" s="45"/>
      <c r="C25" s="46"/>
      <c r="D25" s="47">
        <f>SUM(D12:D23)</f>
        <v>-5869148.9781500008</v>
      </c>
      <c r="E25" s="46"/>
      <c r="F25" s="46"/>
      <c r="G25" s="46"/>
      <c r="H25" s="46"/>
      <c r="I25" s="46"/>
      <c r="J25" s="46"/>
      <c r="K25" s="46"/>
      <c r="L25" s="48"/>
    </row>
    <row r="27" spans="2:12" x14ac:dyDescent="0.25">
      <c r="B27" s="49"/>
      <c r="C27" s="51"/>
      <c r="D27" s="49"/>
      <c r="E27" s="49"/>
      <c r="F27" s="49"/>
      <c r="G27" s="49"/>
      <c r="H27" s="49"/>
    </row>
    <row r="28" spans="2:12" x14ac:dyDescent="0.25">
      <c r="C28" s="50"/>
      <c r="D28" s="8"/>
      <c r="E28" s="52"/>
      <c r="F28" s="8"/>
      <c r="G28" s="52"/>
      <c r="H28" s="8"/>
    </row>
    <row r="29" spans="2:12" x14ac:dyDescent="0.25">
      <c r="C29" s="52"/>
      <c r="D29" s="8"/>
      <c r="E29" s="52"/>
      <c r="F29" s="8"/>
      <c r="G29" s="52"/>
      <c r="H29" s="8"/>
    </row>
    <row r="30" spans="2:12" x14ac:dyDescent="0.25">
      <c r="C30" s="52"/>
      <c r="D30" s="8"/>
      <c r="E30" s="52"/>
      <c r="F30" s="8"/>
      <c r="G30" s="52"/>
      <c r="H30" s="8"/>
    </row>
    <row r="31" spans="2:12" x14ac:dyDescent="0.25">
      <c r="C31" s="52"/>
      <c r="D31" s="8"/>
      <c r="E31" s="52"/>
      <c r="F31" s="8"/>
      <c r="G31" s="52"/>
      <c r="H31" s="8"/>
    </row>
    <row r="32" spans="2:12" x14ac:dyDescent="0.25">
      <c r="C32" s="52"/>
      <c r="D32" s="8"/>
      <c r="E32" s="52"/>
      <c r="F32" s="8"/>
      <c r="G32" s="52"/>
      <c r="H32" s="8"/>
    </row>
    <row r="33" spans="3:8" x14ac:dyDescent="0.25">
      <c r="C33" s="52"/>
      <c r="D33" s="8"/>
      <c r="E33" s="52"/>
      <c r="F33" s="8"/>
      <c r="G33" s="52"/>
      <c r="H33" s="8"/>
    </row>
    <row r="34" spans="3:8" x14ac:dyDescent="0.25">
      <c r="C34" s="52"/>
      <c r="E34" s="52"/>
      <c r="G34" s="5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24035-ABDD-47C8-BDED-3BCFE6BA278A}">
  <dimension ref="A1:D11"/>
  <sheetViews>
    <sheetView tabSelected="1" workbookViewId="0">
      <selection activeCell="C4" sqref="C4"/>
    </sheetView>
  </sheetViews>
  <sheetFormatPr defaultRowHeight="15" x14ac:dyDescent="0.25"/>
  <cols>
    <col min="1" max="1" width="40.28515625" customWidth="1"/>
    <col min="2" max="2" width="24.28515625" customWidth="1"/>
    <col min="3" max="3" width="17.85546875" bestFit="1" customWidth="1"/>
    <col min="4" max="4" width="23.42578125" customWidth="1"/>
  </cols>
  <sheetData>
    <row r="1" spans="1:4" x14ac:dyDescent="0.25">
      <c r="A1" s="14" t="s">
        <v>14</v>
      </c>
      <c r="B1" s="15" t="s">
        <v>15</v>
      </c>
      <c r="C1" s="16" t="s">
        <v>16</v>
      </c>
      <c r="D1" s="17" t="s">
        <v>17</v>
      </c>
    </row>
    <row r="2" spans="1:4" x14ac:dyDescent="0.25">
      <c r="A2" s="18" t="s">
        <v>53</v>
      </c>
      <c r="B2" s="19">
        <v>84</v>
      </c>
      <c r="C2" s="20">
        <v>15367.87</v>
      </c>
      <c r="D2" s="21">
        <f>B2*C2</f>
        <v>1290901.08</v>
      </c>
    </row>
    <row r="3" spans="1:4" x14ac:dyDescent="0.25">
      <c r="A3" s="18" t="s">
        <v>20</v>
      </c>
      <c r="B3" s="19">
        <v>77</v>
      </c>
      <c r="C3" s="22">
        <v>14853.48</v>
      </c>
      <c r="D3" s="21">
        <f t="shared" ref="D3:D8" si="0">B3*C3</f>
        <v>1143717.96</v>
      </c>
    </row>
    <row r="4" spans="1:4" x14ac:dyDescent="0.25">
      <c r="A4" s="18" t="s">
        <v>21</v>
      </c>
      <c r="B4" s="19">
        <v>72</v>
      </c>
      <c r="C4" s="22">
        <f>C3</f>
        <v>14853.48</v>
      </c>
      <c r="D4" s="21">
        <f t="shared" si="0"/>
        <v>1069450.56</v>
      </c>
    </row>
    <row r="5" spans="1:4" x14ac:dyDescent="0.25">
      <c r="A5" s="18" t="s">
        <v>22</v>
      </c>
      <c r="B5" s="19">
        <v>65</v>
      </c>
      <c r="C5" s="22">
        <f>C3</f>
        <v>14853.48</v>
      </c>
      <c r="D5" s="21">
        <f t="shared" si="0"/>
        <v>965476.2</v>
      </c>
    </row>
    <row r="6" spans="1:4" x14ac:dyDescent="0.25">
      <c r="A6" s="18" t="s">
        <v>23</v>
      </c>
      <c r="B6" s="19">
        <v>60</v>
      </c>
      <c r="C6" s="22">
        <f>C4</f>
        <v>14853.48</v>
      </c>
      <c r="D6" s="21">
        <f t="shared" si="0"/>
        <v>891208.79999999993</v>
      </c>
    </row>
    <row r="7" spans="1:4" x14ac:dyDescent="0.25">
      <c r="A7" s="18" t="s">
        <v>24</v>
      </c>
      <c r="B7" s="19">
        <v>53</v>
      </c>
      <c r="C7" s="22">
        <f>C5</f>
        <v>14853.48</v>
      </c>
      <c r="D7" s="21">
        <f t="shared" si="0"/>
        <v>787234.44</v>
      </c>
    </row>
    <row r="8" spans="1:4" x14ac:dyDescent="0.25">
      <c r="A8" s="18" t="s">
        <v>25</v>
      </c>
      <c r="B8" s="19">
        <v>48</v>
      </c>
      <c r="C8" s="22">
        <f>C6</f>
        <v>14853.48</v>
      </c>
      <c r="D8" s="21">
        <f t="shared" si="0"/>
        <v>712967.04</v>
      </c>
    </row>
    <row r="10" spans="1:4" x14ac:dyDescent="0.25">
      <c r="A10" s="23" t="s">
        <v>18</v>
      </c>
      <c r="B10" s="24">
        <f>'Resultado consolidado'!DG5</f>
        <v>9890844.1373883933</v>
      </c>
    </row>
    <row r="11" spans="1:4" x14ac:dyDescent="0.25">
      <c r="A11" s="25" t="s">
        <v>19</v>
      </c>
      <c r="B11" s="26">
        <f>B10-SUM(D2:D8)</f>
        <v>3029888.0573883941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Resultado consolidado</vt:lpstr>
      <vt:lpstr>Capex Total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</dc:creator>
  <cp:lastModifiedBy>Fabricio</cp:lastModifiedBy>
  <dcterms:created xsi:type="dcterms:W3CDTF">2015-06-05T18:19:34Z</dcterms:created>
  <dcterms:modified xsi:type="dcterms:W3CDTF">2026-03-15T02:25:48Z</dcterms:modified>
</cp:coreProperties>
</file>