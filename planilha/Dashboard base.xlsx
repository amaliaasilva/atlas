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Dashboard\"/>
    </mc:Choice>
  </mc:AlternateContent>
  <xr:revisionPtr revIDLastSave="0" documentId="13_ncr:1_{82EDF4B8-FFBE-4532-915B-87084D0C50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nidades" sheetId="1" r:id="rId1"/>
    <sheet name="Base financeira" sheetId="2" r:id="rId2"/>
    <sheet name="Unit economics anual" sheetId="4" r:id="rId3"/>
    <sheet name="Unit economics (fixos)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2" i="2" l="1"/>
  <c r="K31" i="2"/>
  <c r="K18" i="2"/>
  <c r="K2" i="2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7" i="3"/>
  <c r="B6" i="3"/>
  <c r="B3" i="3"/>
  <c r="B2" i="3"/>
  <c r="B4" i="3" s="1"/>
  <c r="B5" i="3" s="1"/>
  <c r="K50" i="2"/>
  <c r="K49" i="2"/>
  <c r="K48" i="2"/>
  <c r="K47" i="2"/>
  <c r="G47" i="2"/>
  <c r="G48" i="2" s="1"/>
  <c r="G49" i="2" s="1"/>
  <c r="G50" i="2" s="1"/>
  <c r="F48" i="2"/>
  <c r="H48" i="2" s="1"/>
  <c r="I48" i="2" s="1"/>
  <c r="F50" i="2"/>
  <c r="H50" i="2" s="1"/>
  <c r="I50" i="2" s="1"/>
  <c r="E50" i="2"/>
  <c r="E49" i="2"/>
  <c r="F49" i="2" s="1"/>
  <c r="H49" i="2" s="1"/>
  <c r="I49" i="2" s="1"/>
  <c r="E48" i="2"/>
  <c r="E47" i="2"/>
  <c r="F47" i="2" s="1"/>
  <c r="H47" i="2" s="1"/>
  <c r="I47" i="2" s="1"/>
  <c r="D50" i="2"/>
  <c r="D49" i="2"/>
  <c r="D48" i="2"/>
  <c r="D47" i="2"/>
  <c r="C50" i="2"/>
  <c r="C49" i="2"/>
  <c r="C48" i="2"/>
  <c r="C47" i="2"/>
  <c r="K46" i="2" l="1"/>
  <c r="K45" i="2"/>
  <c r="K44" i="2"/>
  <c r="K43" i="2"/>
  <c r="G43" i="2"/>
  <c r="G44" i="2" s="1"/>
  <c r="G45" i="2" s="1"/>
  <c r="G46" i="2" s="1"/>
  <c r="G42" i="2"/>
  <c r="F42" i="2"/>
  <c r="H42" i="2" s="1"/>
  <c r="I42" i="2" s="1"/>
  <c r="F44" i="2"/>
  <c r="H44" i="2" s="1"/>
  <c r="I44" i="2" s="1"/>
  <c r="F46" i="2"/>
  <c r="H46" i="2" s="1"/>
  <c r="I46" i="2" s="1"/>
  <c r="E46" i="2"/>
  <c r="E45" i="2"/>
  <c r="F45" i="2" s="1"/>
  <c r="H45" i="2" s="1"/>
  <c r="I45" i="2" s="1"/>
  <c r="E44" i="2"/>
  <c r="E43" i="2"/>
  <c r="F43" i="2" s="1"/>
  <c r="H43" i="2" s="1"/>
  <c r="I43" i="2" s="1"/>
  <c r="E42" i="2"/>
  <c r="D46" i="2"/>
  <c r="D45" i="2"/>
  <c r="D44" i="2"/>
  <c r="D43" i="2"/>
  <c r="D42" i="2"/>
  <c r="C46" i="2"/>
  <c r="C45" i="2"/>
  <c r="C44" i="2"/>
  <c r="C43" i="2"/>
  <c r="C42" i="2"/>
  <c r="K41" i="2" l="1"/>
  <c r="K40" i="2"/>
  <c r="K39" i="2"/>
  <c r="K38" i="2"/>
  <c r="K37" i="2"/>
  <c r="G37" i="2"/>
  <c r="F38" i="2"/>
  <c r="F40" i="2"/>
  <c r="E41" i="2"/>
  <c r="F41" i="2" s="1"/>
  <c r="E40" i="2"/>
  <c r="E39" i="2"/>
  <c r="F39" i="2" s="1"/>
  <c r="E38" i="2"/>
  <c r="E37" i="2"/>
  <c r="F37" i="2" s="1"/>
  <c r="D41" i="2"/>
  <c r="D40" i="2"/>
  <c r="D39" i="2"/>
  <c r="D38" i="2"/>
  <c r="D37" i="2"/>
  <c r="C41" i="2"/>
  <c r="C40" i="2"/>
  <c r="C39" i="2"/>
  <c r="C38" i="2"/>
  <c r="C37" i="2"/>
  <c r="H37" i="2" l="1"/>
  <c r="I37" i="2" s="1"/>
  <c r="G38" i="2"/>
  <c r="K36" i="2"/>
  <c r="K35" i="2"/>
  <c r="K34" i="2"/>
  <c r="K33" i="2"/>
  <c r="K32" i="2"/>
  <c r="G32" i="2"/>
  <c r="G33" i="2" s="1"/>
  <c r="G34" i="2" s="1"/>
  <c r="G35" i="2" s="1"/>
  <c r="G36" i="2" s="1"/>
  <c r="G31" i="2"/>
  <c r="D36" i="2"/>
  <c r="D35" i="2"/>
  <c r="D34" i="2"/>
  <c r="D33" i="2"/>
  <c r="D32" i="2"/>
  <c r="D31" i="2"/>
  <c r="C36" i="2"/>
  <c r="E36" i="2" s="1"/>
  <c r="C35" i="2"/>
  <c r="C34" i="2"/>
  <c r="E34" i="2" s="1"/>
  <c r="C33" i="2"/>
  <c r="C32" i="2"/>
  <c r="E32" i="2" s="1"/>
  <c r="C31" i="2"/>
  <c r="H38" i="2" l="1"/>
  <c r="I38" i="2" s="1"/>
  <c r="G39" i="2"/>
  <c r="E31" i="2"/>
  <c r="F31" i="2" s="1"/>
  <c r="H31" i="2" s="1"/>
  <c r="I31" i="2" s="1"/>
  <c r="E33" i="2"/>
  <c r="F33" i="2" s="1"/>
  <c r="H33" i="2" s="1"/>
  <c r="I33" i="2" s="1"/>
  <c r="E35" i="2"/>
  <c r="F35" i="2" s="1"/>
  <c r="H35" i="2" s="1"/>
  <c r="I35" i="2" s="1"/>
  <c r="F36" i="2"/>
  <c r="H36" i="2" s="1"/>
  <c r="I36" i="2" s="1"/>
  <c r="F34" i="2"/>
  <c r="H34" i="2" s="1"/>
  <c r="I34" i="2" s="1"/>
  <c r="F32" i="2"/>
  <c r="H32" i="2" s="1"/>
  <c r="I32" i="2" s="1"/>
  <c r="K30" i="2"/>
  <c r="K29" i="2"/>
  <c r="K28" i="2"/>
  <c r="K27" i="2"/>
  <c r="K26" i="2"/>
  <c r="K25" i="2"/>
  <c r="G26" i="2"/>
  <c r="G25" i="2"/>
  <c r="H39" i="2" l="1"/>
  <c r="I39" i="2" s="1"/>
  <c r="G40" i="2"/>
  <c r="G27" i="2"/>
  <c r="F25" i="2"/>
  <c r="H25" i="2" s="1"/>
  <c r="I25" i="2" s="1"/>
  <c r="F27" i="2"/>
  <c r="F29" i="2"/>
  <c r="E30" i="2"/>
  <c r="F30" i="2" s="1"/>
  <c r="E29" i="2"/>
  <c r="E28" i="2"/>
  <c r="F28" i="2" s="1"/>
  <c r="E27" i="2"/>
  <c r="E26" i="2"/>
  <c r="F26" i="2" s="1"/>
  <c r="H26" i="2" s="1"/>
  <c r="I26" i="2" s="1"/>
  <c r="E25" i="2"/>
  <c r="H27" i="2" l="1"/>
  <c r="I27" i="2" s="1"/>
  <c r="G28" i="2"/>
  <c r="H40" i="2"/>
  <c r="I40" i="2" s="1"/>
  <c r="G41" i="2"/>
  <c r="H41" i="2" s="1"/>
  <c r="I41" i="2" s="1"/>
  <c r="D30" i="2"/>
  <c r="D29" i="2"/>
  <c r="D28" i="2"/>
  <c r="D27" i="2"/>
  <c r="D26" i="2"/>
  <c r="D25" i="2"/>
  <c r="C30" i="2"/>
  <c r="C29" i="2"/>
  <c r="C28" i="2"/>
  <c r="C27" i="2"/>
  <c r="C26" i="2"/>
  <c r="C25" i="2"/>
  <c r="H28" i="2" l="1"/>
  <c r="I28" i="2" s="1"/>
  <c r="G29" i="2"/>
  <c r="G19" i="2"/>
  <c r="G20" i="2" s="1"/>
  <c r="G21" i="2" s="1"/>
  <c r="G22" i="2" s="1"/>
  <c r="G23" i="2" s="1"/>
  <c r="G24" i="2" s="1"/>
  <c r="G18" i="2"/>
  <c r="K24" i="2"/>
  <c r="K23" i="2"/>
  <c r="K22" i="2"/>
  <c r="K21" i="2"/>
  <c r="K20" i="2"/>
  <c r="K19" i="2"/>
  <c r="E23" i="2"/>
  <c r="E21" i="2"/>
  <c r="E19" i="2"/>
  <c r="D24" i="2"/>
  <c r="D23" i="2"/>
  <c r="F23" i="2" s="1"/>
  <c r="D22" i="2"/>
  <c r="D21" i="2"/>
  <c r="D20" i="2"/>
  <c r="D19" i="2"/>
  <c r="D18" i="2"/>
  <c r="C24" i="2"/>
  <c r="E24" i="2" s="1"/>
  <c r="C23" i="2"/>
  <c r="C22" i="2"/>
  <c r="E22" i="2" s="1"/>
  <c r="F22" i="2" s="1"/>
  <c r="C21" i="2"/>
  <c r="C20" i="2"/>
  <c r="E20" i="2" s="1"/>
  <c r="F20" i="2" s="1"/>
  <c r="C19" i="2"/>
  <c r="C18" i="2"/>
  <c r="E18" i="2" s="1"/>
  <c r="F18" i="2" s="1"/>
  <c r="F19" i="2" l="1"/>
  <c r="H19" i="2" s="1"/>
  <c r="I19" i="2" s="1"/>
  <c r="F21" i="2"/>
  <c r="H29" i="2"/>
  <c r="I29" i="2" s="1"/>
  <c r="G30" i="2"/>
  <c r="H30" i="2" s="1"/>
  <c r="I30" i="2" s="1"/>
  <c r="F24" i="2"/>
  <c r="H20" i="2"/>
  <c r="I20" i="2" s="1"/>
  <c r="H18" i="2"/>
  <c r="I18" i="2" s="1"/>
  <c r="H21" i="2"/>
  <c r="I21" i="2" s="1"/>
  <c r="H22" i="2" l="1"/>
  <c r="I22" i="2" s="1"/>
  <c r="H23" i="2" l="1"/>
  <c r="I23" i="2" s="1"/>
  <c r="H24" i="2"/>
  <c r="I24" i="2" s="1"/>
  <c r="K17" i="2" l="1"/>
  <c r="K16" i="2"/>
  <c r="K15" i="2"/>
  <c r="K14" i="2"/>
  <c r="K13" i="2"/>
  <c r="K12" i="2"/>
  <c r="K11" i="2"/>
  <c r="G11" i="2" l="1"/>
  <c r="G12" i="2" s="1"/>
  <c r="G13" i="2" s="1"/>
  <c r="G14" i="2" s="1"/>
  <c r="G15" i="2" s="1"/>
  <c r="G16" i="2" s="1"/>
  <c r="G17" i="2" s="1"/>
  <c r="D17" i="2" l="1"/>
  <c r="C17" i="2" l="1"/>
  <c r="E17" i="2" l="1"/>
  <c r="F17" i="2"/>
  <c r="H17" i="2" s="1"/>
  <c r="I17" i="2" s="1"/>
  <c r="D11" i="2"/>
  <c r="D12" i="2" l="1"/>
  <c r="D13" i="2" l="1"/>
  <c r="D14" i="2" l="1"/>
  <c r="D15" i="2" l="1"/>
  <c r="D16" i="2" l="1"/>
  <c r="C15" i="2" l="1"/>
  <c r="C14" i="2"/>
  <c r="C13" i="2"/>
  <c r="C12" i="2"/>
  <c r="E13" i="2" l="1"/>
  <c r="F13" i="2"/>
  <c r="H13" i="2" s="1"/>
  <c r="I13" i="2" s="1"/>
  <c r="E15" i="2"/>
  <c r="F15" i="2"/>
  <c r="H15" i="2" s="1"/>
  <c r="I15" i="2" s="1"/>
  <c r="E12" i="2"/>
  <c r="F12" i="2"/>
  <c r="H12" i="2" s="1"/>
  <c r="I12" i="2" s="1"/>
  <c r="E14" i="2"/>
  <c r="F14" i="2"/>
  <c r="H14" i="2" s="1"/>
  <c r="I14" i="2" s="1"/>
  <c r="C16" i="2"/>
  <c r="C11" i="2"/>
  <c r="E11" i="2" l="1"/>
  <c r="F11" i="2"/>
  <c r="H11" i="2" s="1"/>
  <c r="I11" i="2" s="1"/>
  <c r="E16" i="2"/>
  <c r="F16" i="2"/>
  <c r="H16" i="2" s="1"/>
  <c r="I16" i="2" s="1"/>
  <c r="K10" i="2"/>
  <c r="K9" i="2"/>
  <c r="K8" i="2"/>
  <c r="K7" i="2"/>
  <c r="K6" i="2"/>
  <c r="K5" i="2"/>
  <c r="K4" i="2"/>
  <c r="K3" i="2"/>
  <c r="D2" i="2"/>
  <c r="D10" i="2"/>
  <c r="D9" i="2"/>
  <c r="D8" i="2"/>
  <c r="D7" i="2"/>
  <c r="D6" i="2"/>
  <c r="D5" i="2"/>
  <c r="D4" i="2"/>
  <c r="D3" i="2"/>
  <c r="C10" i="2"/>
  <c r="E10" i="2" s="1"/>
  <c r="C9" i="2"/>
  <c r="E9" i="2" s="1"/>
  <c r="C8" i="2"/>
  <c r="E8" i="2" s="1"/>
  <c r="C7" i="2"/>
  <c r="E7" i="2" s="1"/>
  <c r="C6" i="2"/>
  <c r="E6" i="2" s="1"/>
  <c r="C5" i="2"/>
  <c r="E5" i="2" s="1"/>
  <c r="C4" i="2"/>
  <c r="E4" i="2" s="1"/>
  <c r="C3" i="2"/>
  <c r="E3" i="2" s="1"/>
  <c r="C2" i="2"/>
  <c r="E2" i="2" s="1"/>
  <c r="F10" i="2" l="1"/>
  <c r="H10" i="2" s="1"/>
  <c r="I10" i="2" s="1"/>
  <c r="F6" i="2"/>
  <c r="H6" i="2" s="1"/>
  <c r="I6" i="2" s="1"/>
  <c r="F8" i="2"/>
  <c r="H8" i="2" s="1"/>
  <c r="I8" i="2" s="1"/>
  <c r="F4" i="2"/>
  <c r="H4" i="2" s="1"/>
  <c r="I4" i="2" s="1"/>
  <c r="F2" i="2"/>
  <c r="H2" i="2" s="1"/>
  <c r="I2" i="2" s="1"/>
  <c r="F9" i="2"/>
  <c r="H9" i="2" s="1"/>
  <c r="I9" i="2" s="1"/>
  <c r="F7" i="2"/>
  <c r="H7" i="2" s="1"/>
  <c r="I7" i="2" s="1"/>
  <c r="F5" i="2"/>
  <c r="H5" i="2" s="1"/>
  <c r="I5" i="2" s="1"/>
  <c r="F3" i="2"/>
  <c r="H3" i="2" s="1"/>
  <c r="I3" i="2" s="1"/>
</calcChain>
</file>

<file path=xl/sharedStrings.xml><?xml version="1.0" encoding="utf-8"?>
<sst xmlns="http://schemas.openxmlformats.org/spreadsheetml/2006/main" count="130" uniqueCount="38">
  <si>
    <t>Unidade</t>
  </si>
  <si>
    <t>Tipo</t>
  </si>
  <si>
    <t>Ano abertura</t>
  </si>
  <si>
    <t>Lab</t>
  </si>
  <si>
    <t>U2</t>
  </si>
  <si>
    <t>Par</t>
  </si>
  <si>
    <t>U3</t>
  </si>
  <si>
    <t>Impar</t>
  </si>
  <si>
    <t>U4</t>
  </si>
  <si>
    <t>U5</t>
  </si>
  <si>
    <t>U6</t>
  </si>
  <si>
    <t>U7</t>
  </si>
  <si>
    <t>U8</t>
  </si>
  <si>
    <t>Ano</t>
  </si>
  <si>
    <t>Receita</t>
  </si>
  <si>
    <t>Custos fixos</t>
  </si>
  <si>
    <t>Custos variáveis</t>
  </si>
  <si>
    <t>Custos financeiros</t>
  </si>
  <si>
    <t>Resultado operacional</t>
  </si>
  <si>
    <t>Lucro líquido</t>
  </si>
  <si>
    <t>Margem líquida</t>
  </si>
  <si>
    <t>Ocupação projetada</t>
  </si>
  <si>
    <t>Professores necessários (cenário médio)</t>
  </si>
  <si>
    <t>Métrica</t>
  </si>
  <si>
    <t>Valor</t>
  </si>
  <si>
    <t>Capacidade de aulas por mês</t>
  </si>
  <si>
    <t>Preço médio por aula</t>
  </si>
  <si>
    <t>Margem de contribuição</t>
  </si>
  <si>
    <t>Alunos por professor (média)</t>
  </si>
  <si>
    <t>Métricas</t>
  </si>
  <si>
    <t>Valores</t>
  </si>
  <si>
    <t>Capacidade de receita mensal</t>
  </si>
  <si>
    <t>Capacidade de receita anual</t>
  </si>
  <si>
    <t>Capacidade mensal de aulas por professor (média)</t>
  </si>
  <si>
    <t>Ponto de equilíbrio</t>
  </si>
  <si>
    <t>Ocupação necessária para breakeven</t>
  </si>
  <si>
    <t>Aulas vendidas necessárias para breakeven</t>
  </si>
  <si>
    <t>Professores necessários para breakeven (média)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</si>
</sst>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0" fontId="2" fillId="0" borderId="1" xfId="0" applyFont="1" applyBorder="1"/>
    <xf numFmtId="0" fontId="0" fillId="0" borderId="1" xfId="0" applyBorder="1"/>
    <xf numFmtId="4" fontId="0" fillId="0" borderId="1" xfId="0" applyNumberFormat="1" applyBorder="1"/>
    <xf numFmtId="43" fontId="0" fillId="0" borderId="1" xfId="0" applyNumberFormat="1" applyBorder="1"/>
    <xf numFmtId="43" fontId="0" fillId="0" borderId="1" xfId="1" applyFont="1" applyBorder="1"/>
    <xf numFmtId="164" fontId="0" fillId="0" borderId="1" xfId="1" applyNumberFormat="1" applyFont="1" applyBorder="1"/>
    <xf numFmtId="9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Or&#231;amento%2016.0%20-%20Unidade%20Laborat&#243;rio%20(Alav.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Or&#231;amento%2016.0%20-%20Segunda%20unidade%20(Alav.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Consolidado%20-%202027-2034%20Alav.%20(oito%20unidades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Or&#231;amento%2016.0%20-%20Terceira%20unidade%20(Alav.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Or&#231;amento%2016.0%20-%20Quarta%20unidade%20(Alav.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Or&#231;amento%2016.0%20-%20Quinta%20unidade%20(Alav.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Or&#231;amento%2016.0%20-%20Sexta%20unidade%20(Alav.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Or&#231;amento%2016.0%20-%20S&#233;tima%20unidade%20(Alav.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6/Vers&#245;es%2016%20-%20(Alavancagem)/Unidades%20(Alav.)/Or&#231;amento%2016.0%20-%20Oitava%20unidade%20(Alav.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Ocupação e unit economics 2.0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</sheetNames>
    <sheetDataSet>
      <sheetData sheetId="0">
        <row r="2"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O2">
            <v>26432.749999999996</v>
          </cell>
          <cell r="P2">
            <v>26432.749999999996</v>
          </cell>
          <cell r="Q2">
            <v>26432.749999999996</v>
          </cell>
          <cell r="R2">
            <v>26432.749999999996</v>
          </cell>
          <cell r="S2">
            <v>26432.749999999996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H2">
            <v>154761.24999999997</v>
          </cell>
          <cell r="CI2">
            <v>154761.24999999997</v>
          </cell>
          <cell r="CJ2">
            <v>154761.24999999997</v>
          </cell>
          <cell r="CK2">
            <v>154761.24999999997</v>
          </cell>
          <cell r="CL2">
            <v>154761.24999999997</v>
          </cell>
          <cell r="CM2">
            <v>154761.24999999997</v>
          </cell>
          <cell r="CN2">
            <v>154761.24999999997</v>
          </cell>
          <cell r="CO2">
            <v>154761.24999999997</v>
          </cell>
          <cell r="CP2">
            <v>154761.24999999997</v>
          </cell>
          <cell r="CQ2">
            <v>154761.24999999997</v>
          </cell>
          <cell r="CR2">
            <v>154761.24999999997</v>
          </cell>
          <cell r="CS2">
            <v>154761.24999999997</v>
          </cell>
          <cell r="CU2">
            <v>165815.62499999997</v>
          </cell>
          <cell r="CV2">
            <v>165815.62499999997</v>
          </cell>
          <cell r="CW2">
            <v>165815.62499999997</v>
          </cell>
          <cell r="CX2">
            <v>165815.62499999997</v>
          </cell>
          <cell r="CY2">
            <v>165815.62499999997</v>
          </cell>
          <cell r="CZ2">
            <v>165815.62499999997</v>
          </cell>
          <cell r="DA2">
            <v>165815.62499999997</v>
          </cell>
          <cell r="DB2">
            <v>165815.62499999997</v>
          </cell>
          <cell r="DC2">
            <v>165815.62499999997</v>
          </cell>
          <cell r="DD2">
            <v>165815.62499999997</v>
          </cell>
          <cell r="DE2">
            <v>165815.62499999997</v>
          </cell>
          <cell r="DF2">
            <v>165815.62499999997</v>
          </cell>
        </row>
        <row r="10">
          <cell r="C10">
            <v>19000</v>
          </cell>
          <cell r="D10">
            <v>28000</v>
          </cell>
          <cell r="E10">
            <v>21480</v>
          </cell>
          <cell r="F10">
            <v>44178.766875000001</v>
          </cell>
          <cell r="G10">
            <v>44178.766875000001</v>
          </cell>
          <cell r="H10">
            <v>44932.146249999998</v>
          </cell>
          <cell r="I10">
            <v>44932.146249999998</v>
          </cell>
          <cell r="J10">
            <v>44932.146249999998</v>
          </cell>
          <cell r="K10">
            <v>44932.146249999998</v>
          </cell>
          <cell r="L10">
            <v>45232.146249999998</v>
          </cell>
          <cell r="M10">
            <v>45232.146249999998</v>
          </cell>
          <cell r="N10">
            <v>45232.146249999998</v>
          </cell>
          <cell r="O10">
            <v>45232.146249999998</v>
          </cell>
          <cell r="P10">
            <v>45232.146249999998</v>
          </cell>
          <cell r="Q10">
            <v>45232.146249999998</v>
          </cell>
          <cell r="R10">
            <v>45232.146249999998</v>
          </cell>
          <cell r="S10">
            <v>45232.146249999998</v>
          </cell>
          <cell r="U10">
            <v>50242.815625000003</v>
          </cell>
          <cell r="V10">
            <v>50242.815625000003</v>
          </cell>
          <cell r="W10">
            <v>50242.815625000003</v>
          </cell>
          <cell r="X10">
            <v>50242.815625000003</v>
          </cell>
          <cell r="Y10">
            <v>50242.815625000003</v>
          </cell>
          <cell r="Z10">
            <v>50242.815625000003</v>
          </cell>
          <cell r="AA10">
            <v>50242.815625000003</v>
          </cell>
          <cell r="AB10">
            <v>50242.815625000003</v>
          </cell>
          <cell r="AC10">
            <v>50242.815625000003</v>
          </cell>
          <cell r="AD10">
            <v>50242.815625000003</v>
          </cell>
          <cell r="AE10">
            <v>50242.815625000003</v>
          </cell>
          <cell r="AF10">
            <v>50242.815625000003</v>
          </cell>
          <cell r="AH10">
            <v>56330.85500000001</v>
          </cell>
          <cell r="AI10">
            <v>56330.85500000001</v>
          </cell>
          <cell r="AJ10">
            <v>56330.85500000001</v>
          </cell>
          <cell r="AK10">
            <v>56330.85500000001</v>
          </cell>
          <cell r="AL10">
            <v>56330.85500000001</v>
          </cell>
          <cell r="AM10">
            <v>56330.85500000001</v>
          </cell>
          <cell r="AN10">
            <v>56330.85500000001</v>
          </cell>
          <cell r="AO10">
            <v>56330.85500000001</v>
          </cell>
          <cell r="AP10">
            <v>56330.85500000001</v>
          </cell>
          <cell r="AQ10">
            <v>56330.85500000001</v>
          </cell>
          <cell r="AR10">
            <v>56330.85500000001</v>
          </cell>
          <cell r="AS10">
            <v>56330.85500000001</v>
          </cell>
          <cell r="AU10">
            <v>61734.224250000014</v>
          </cell>
          <cell r="AV10">
            <v>61734.224250000014</v>
          </cell>
          <cell r="AW10">
            <v>61734.224250000014</v>
          </cell>
          <cell r="AX10">
            <v>61734.224250000014</v>
          </cell>
          <cell r="AY10">
            <v>61734.224250000014</v>
          </cell>
          <cell r="AZ10">
            <v>61734.224250000014</v>
          </cell>
          <cell r="BA10">
            <v>61734.224250000014</v>
          </cell>
          <cell r="BB10">
            <v>61734.224250000014</v>
          </cell>
          <cell r="BC10">
            <v>61734.224250000014</v>
          </cell>
          <cell r="BD10">
            <v>61734.224250000014</v>
          </cell>
          <cell r="BE10">
            <v>61734.224250000014</v>
          </cell>
          <cell r="BF10">
            <v>61734.224250000014</v>
          </cell>
          <cell r="BH10">
            <v>68643.333400000018</v>
          </cell>
          <cell r="BI10">
            <v>68643.333400000018</v>
          </cell>
          <cell r="BJ10">
            <v>68643.333400000018</v>
          </cell>
          <cell r="BK10">
            <v>68643.333400000018</v>
          </cell>
          <cell r="BL10">
            <v>68643.333400000018</v>
          </cell>
          <cell r="BM10">
            <v>68643.333400000018</v>
          </cell>
          <cell r="BN10">
            <v>68643.333400000018</v>
          </cell>
          <cell r="BO10">
            <v>68643.333400000018</v>
          </cell>
          <cell r="BP10">
            <v>68643.333400000018</v>
          </cell>
          <cell r="BQ10">
            <v>68643.333400000018</v>
          </cell>
          <cell r="BR10">
            <v>68643.333400000018</v>
          </cell>
          <cell r="BS10">
            <v>68643.333400000018</v>
          </cell>
          <cell r="BU10">
            <v>74361.427280000018</v>
          </cell>
          <cell r="BV10">
            <v>74361.427280000018</v>
          </cell>
          <cell r="BW10">
            <v>74361.427280000018</v>
          </cell>
          <cell r="BX10">
            <v>74361.427280000018</v>
          </cell>
          <cell r="BY10">
            <v>74361.427280000018</v>
          </cell>
          <cell r="BZ10">
            <v>74361.427280000018</v>
          </cell>
          <cell r="CA10">
            <v>74361.427280000018</v>
          </cell>
          <cell r="CB10">
            <v>74361.427280000018</v>
          </cell>
          <cell r="CC10">
            <v>74361.427280000018</v>
          </cell>
          <cell r="CD10">
            <v>74361.427280000018</v>
          </cell>
          <cell r="CE10">
            <v>74361.427280000018</v>
          </cell>
          <cell r="CF10">
            <v>74361.427280000018</v>
          </cell>
          <cell r="CH10">
            <v>79825.650633000027</v>
          </cell>
          <cell r="CI10">
            <v>79825.650633000027</v>
          </cell>
          <cell r="CJ10">
            <v>79825.650633000027</v>
          </cell>
          <cell r="CK10">
            <v>79825.650633000027</v>
          </cell>
          <cell r="CL10">
            <v>79825.650633000027</v>
          </cell>
          <cell r="CM10">
            <v>79825.650633000027</v>
          </cell>
          <cell r="CN10">
            <v>79825.650633000027</v>
          </cell>
          <cell r="CO10">
            <v>79825.650633000027</v>
          </cell>
          <cell r="CP10">
            <v>79825.650633000027</v>
          </cell>
          <cell r="CQ10">
            <v>79825.650633000027</v>
          </cell>
          <cell r="CR10">
            <v>79825.650633000027</v>
          </cell>
          <cell r="CS10">
            <v>79825.650633000027</v>
          </cell>
          <cell r="CU10">
            <v>86348.19944630003</v>
          </cell>
          <cell r="CV10">
            <v>86348.19944630003</v>
          </cell>
          <cell r="CW10">
            <v>86348.19944630003</v>
          </cell>
          <cell r="CX10">
            <v>86348.19944630003</v>
          </cell>
          <cell r="CY10">
            <v>86348.19944630003</v>
          </cell>
          <cell r="CZ10">
            <v>86348.19944630003</v>
          </cell>
          <cell r="DA10">
            <v>86348.19944630003</v>
          </cell>
          <cell r="DB10">
            <v>86348.19944630003</v>
          </cell>
          <cell r="DC10">
            <v>86348.19944630003</v>
          </cell>
          <cell r="DD10">
            <v>86348.19944630003</v>
          </cell>
          <cell r="DE10">
            <v>86348.19944630003</v>
          </cell>
          <cell r="DF10">
            <v>86348.19944630003</v>
          </cell>
        </row>
        <row r="51">
          <cell r="F51">
            <v>171.76687500000003</v>
          </cell>
          <cell r="G51">
            <v>171.76687500000003</v>
          </cell>
          <cell r="H51">
            <v>925.14625000000001</v>
          </cell>
          <cell r="I51">
            <v>925.14625000000001</v>
          </cell>
          <cell r="J51">
            <v>925.14625000000001</v>
          </cell>
          <cell r="K51">
            <v>925.14625000000001</v>
          </cell>
          <cell r="L51">
            <v>925.14625000000001</v>
          </cell>
          <cell r="M51">
            <v>925.14625000000001</v>
          </cell>
          <cell r="N51">
            <v>925.14625000000001</v>
          </cell>
          <cell r="O51">
            <v>925.14625000000001</v>
          </cell>
          <cell r="P51">
            <v>925.14625000000001</v>
          </cell>
          <cell r="Q51">
            <v>925.14625000000001</v>
          </cell>
          <cell r="R51">
            <v>925.14625000000001</v>
          </cell>
          <cell r="S51">
            <v>925.14625000000001</v>
          </cell>
          <cell r="U51">
            <v>1934.515625</v>
          </cell>
          <cell r="V51">
            <v>1934.515625</v>
          </cell>
          <cell r="W51">
            <v>1934.515625</v>
          </cell>
          <cell r="X51">
            <v>1934.515625</v>
          </cell>
          <cell r="Y51">
            <v>1934.515625</v>
          </cell>
          <cell r="Z51">
            <v>1934.515625</v>
          </cell>
          <cell r="AA51">
            <v>1934.515625</v>
          </cell>
          <cell r="AB51">
            <v>1934.515625</v>
          </cell>
          <cell r="AC51">
            <v>1934.515625</v>
          </cell>
          <cell r="AD51">
            <v>1934.515625</v>
          </cell>
          <cell r="AE51">
            <v>1934.515625</v>
          </cell>
          <cell r="AF51">
            <v>1934.515625</v>
          </cell>
          <cell r="AH51">
            <v>3095.2250000000004</v>
          </cell>
          <cell r="AI51">
            <v>3095.2250000000004</v>
          </cell>
          <cell r="AJ51">
            <v>3095.2250000000004</v>
          </cell>
          <cell r="AK51">
            <v>3095.2250000000004</v>
          </cell>
          <cell r="AL51">
            <v>3095.2250000000004</v>
          </cell>
          <cell r="AM51">
            <v>3095.2250000000004</v>
          </cell>
          <cell r="AN51">
            <v>3095.2250000000004</v>
          </cell>
          <cell r="AO51">
            <v>3095.2250000000004</v>
          </cell>
          <cell r="AP51">
            <v>3095.2250000000004</v>
          </cell>
          <cell r="AQ51">
            <v>3095.2250000000004</v>
          </cell>
          <cell r="AR51">
            <v>3095.2250000000004</v>
          </cell>
          <cell r="AS51">
            <v>3095.2250000000004</v>
          </cell>
          <cell r="AU51">
            <v>3869.03125</v>
          </cell>
          <cell r="AV51">
            <v>3869.03125</v>
          </cell>
          <cell r="AW51">
            <v>3869.03125</v>
          </cell>
          <cell r="AX51">
            <v>3869.03125</v>
          </cell>
          <cell r="AY51">
            <v>3869.03125</v>
          </cell>
          <cell r="AZ51">
            <v>3869.03125</v>
          </cell>
          <cell r="BA51">
            <v>3869.03125</v>
          </cell>
          <cell r="BB51">
            <v>3869.03125</v>
          </cell>
          <cell r="BC51">
            <v>3869.03125</v>
          </cell>
          <cell r="BD51">
            <v>3869.03125</v>
          </cell>
          <cell r="BE51">
            <v>3869.03125</v>
          </cell>
          <cell r="BF51">
            <v>3869.03125</v>
          </cell>
          <cell r="BH51">
            <v>4642.8374999999996</v>
          </cell>
          <cell r="BI51">
            <v>4642.8374999999996</v>
          </cell>
          <cell r="BJ51">
            <v>4642.8374999999996</v>
          </cell>
          <cell r="BK51">
            <v>4642.8374999999996</v>
          </cell>
          <cell r="BL51">
            <v>4642.8374999999996</v>
          </cell>
          <cell r="BM51">
            <v>4642.8374999999996</v>
          </cell>
          <cell r="BN51">
            <v>4642.8374999999996</v>
          </cell>
          <cell r="BO51">
            <v>4642.8374999999996</v>
          </cell>
          <cell r="BP51">
            <v>4642.8374999999996</v>
          </cell>
          <cell r="BQ51">
            <v>4642.8374999999996</v>
          </cell>
          <cell r="BR51">
            <v>4642.8374999999996</v>
          </cell>
          <cell r="BS51">
            <v>4642.8374999999996</v>
          </cell>
          <cell r="BU51">
            <v>5416.6437499999993</v>
          </cell>
          <cell r="BV51">
            <v>5416.6437499999993</v>
          </cell>
          <cell r="BW51">
            <v>5416.6437499999993</v>
          </cell>
          <cell r="BX51">
            <v>5416.6437499999993</v>
          </cell>
          <cell r="BY51">
            <v>5416.6437499999993</v>
          </cell>
          <cell r="BZ51">
            <v>5416.6437499999993</v>
          </cell>
          <cell r="CA51">
            <v>5416.6437499999993</v>
          </cell>
          <cell r="CB51">
            <v>5416.6437499999993</v>
          </cell>
          <cell r="CC51">
            <v>5416.6437499999993</v>
          </cell>
          <cell r="CD51">
            <v>5416.6437499999993</v>
          </cell>
          <cell r="CE51">
            <v>5416.6437499999993</v>
          </cell>
          <cell r="CF51">
            <v>5416.6437499999993</v>
          </cell>
          <cell r="CH51">
            <v>5416.6437499999993</v>
          </cell>
          <cell r="CI51">
            <v>5416.6437499999993</v>
          </cell>
          <cell r="CJ51">
            <v>5416.6437499999993</v>
          </cell>
          <cell r="CK51">
            <v>5416.6437499999993</v>
          </cell>
          <cell r="CL51">
            <v>5416.6437499999993</v>
          </cell>
          <cell r="CM51">
            <v>5416.6437499999993</v>
          </cell>
          <cell r="CN51">
            <v>5416.6437499999993</v>
          </cell>
          <cell r="CO51">
            <v>5416.6437499999993</v>
          </cell>
          <cell r="CP51">
            <v>5416.6437499999993</v>
          </cell>
          <cell r="CQ51">
            <v>5416.6437499999993</v>
          </cell>
          <cell r="CR51">
            <v>5416.6437499999993</v>
          </cell>
          <cell r="CS51">
            <v>5416.6437499999993</v>
          </cell>
          <cell r="CU51">
            <v>5803.5468749999991</v>
          </cell>
          <cell r="CV51">
            <v>5803.5468749999991</v>
          </cell>
          <cell r="CW51">
            <v>5803.5468749999991</v>
          </cell>
          <cell r="CX51">
            <v>5803.5468749999991</v>
          </cell>
          <cell r="CY51">
            <v>5803.5468749999991</v>
          </cell>
          <cell r="CZ51">
            <v>5803.5468749999991</v>
          </cell>
          <cell r="DA51">
            <v>5803.5468749999991</v>
          </cell>
          <cell r="DB51">
            <v>5803.5468749999991</v>
          </cell>
          <cell r="DC51">
            <v>5803.5468749999991</v>
          </cell>
          <cell r="DD51">
            <v>5803.5468749999991</v>
          </cell>
          <cell r="DE51">
            <v>5803.5468749999991</v>
          </cell>
          <cell r="DF51">
            <v>5803.5468749999991</v>
          </cell>
        </row>
      </sheetData>
      <sheetData sheetId="1"/>
      <sheetData sheetId="2"/>
      <sheetData sheetId="3"/>
      <sheetData sheetId="4"/>
      <sheetData sheetId="5">
        <row r="5">
          <cell r="K5">
            <v>9.5000000000000001E-2</v>
          </cell>
          <cell r="L5">
            <v>0.1983</v>
          </cell>
        </row>
        <row r="33">
          <cell r="B33">
            <v>3845</v>
          </cell>
        </row>
        <row r="63">
          <cell r="B63">
            <v>57.5</v>
          </cell>
        </row>
        <row r="70">
          <cell r="B70">
            <v>0.90500000000000003</v>
          </cell>
          <cell r="C70">
            <v>0.80169999999999997</v>
          </cell>
          <cell r="D70">
            <v>0.80169999999999997</v>
          </cell>
          <cell r="E70">
            <v>0.80169999999999997</v>
          </cell>
          <cell r="F70">
            <v>0.80169999999999997</v>
          </cell>
          <cell r="G70">
            <v>0.80169999999999997</v>
          </cell>
          <cell r="H70">
            <v>0.80169999999999997</v>
          </cell>
        </row>
        <row r="71">
          <cell r="B71">
            <v>48771.491712707175</v>
          </cell>
          <cell r="C71">
            <v>60148.060371710126</v>
          </cell>
          <cell r="D71">
            <v>66415.404764874649</v>
          </cell>
          <cell r="E71">
            <v>72259.814144942022</v>
          </cell>
          <cell r="F71">
            <v>79259.426593488868</v>
          </cell>
          <cell r="G71">
            <v>86210.091717600139</v>
          </cell>
          <cell r="H71">
            <v>94268.421582886396</v>
          </cell>
        </row>
        <row r="72">
          <cell r="B72">
            <v>848.1998558731683</v>
          </cell>
          <cell r="C72">
            <v>1046.0532238558283</v>
          </cell>
          <cell r="D72">
            <v>1155.0505176499939</v>
          </cell>
          <cell r="E72">
            <v>1256.6924199120351</v>
          </cell>
          <cell r="F72">
            <v>1378.4248103215455</v>
          </cell>
          <cell r="G72">
            <v>1499.305942914785</v>
          </cell>
          <cell r="H72">
            <v>1639.4508101371548</v>
          </cell>
        </row>
        <row r="73">
          <cell r="B73">
            <v>0.22059814196961464</v>
          </cell>
          <cell r="C73">
            <v>0.27205545483896704</v>
          </cell>
          <cell r="D73">
            <v>0.3004032555656681</v>
          </cell>
          <cell r="E73">
            <v>0.32683808060130953</v>
          </cell>
          <cell r="F73">
            <v>0.35849800008362692</v>
          </cell>
          <cell r="G73">
            <v>0.38993652611567881</v>
          </cell>
          <cell r="H73">
            <v>0.42638512617351232</v>
          </cell>
        </row>
        <row r="81">
          <cell r="B81">
            <v>1.5</v>
          </cell>
        </row>
        <row r="85">
          <cell r="B85">
            <v>12.99</v>
          </cell>
        </row>
        <row r="91">
          <cell r="B91">
            <v>66</v>
          </cell>
          <cell r="C91">
            <v>81</v>
          </cell>
          <cell r="D91">
            <v>89</v>
          </cell>
          <cell r="E91">
            <v>97</v>
          </cell>
          <cell r="F91">
            <v>107</v>
          </cell>
          <cell r="G91">
            <v>116</v>
          </cell>
          <cell r="H91">
            <v>127</v>
          </cell>
        </row>
        <row r="102">
          <cell r="B102">
            <v>36</v>
          </cell>
          <cell r="C102">
            <v>74</v>
          </cell>
          <cell r="D102">
            <v>119</v>
          </cell>
          <cell r="E102">
            <v>148</v>
          </cell>
          <cell r="F102">
            <v>178</v>
          </cell>
          <cell r="G102">
            <v>208</v>
          </cell>
          <cell r="H102">
            <v>222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2">
          <cell r="C2">
            <v>0</v>
          </cell>
          <cell r="D2">
            <v>0</v>
          </cell>
          <cell r="E2">
            <v>0</v>
          </cell>
          <cell r="F2">
            <v>9815.25</v>
          </cell>
          <cell r="G2">
            <v>19630.5</v>
          </cell>
          <cell r="H2">
            <v>19630.5</v>
          </cell>
          <cell r="I2">
            <v>19630.5</v>
          </cell>
          <cell r="J2">
            <v>19630.5</v>
          </cell>
          <cell r="K2">
            <v>19630.5</v>
          </cell>
          <cell r="L2">
            <v>19630.5</v>
          </cell>
          <cell r="M2">
            <v>19630.5</v>
          </cell>
          <cell r="N2">
            <v>19630.5</v>
          </cell>
          <cell r="U2">
            <v>55068.229166666664</v>
          </cell>
          <cell r="V2">
            <v>55068.229166666664</v>
          </cell>
          <cell r="W2">
            <v>55068.229166666664</v>
          </cell>
          <cell r="X2">
            <v>55068.229166666664</v>
          </cell>
          <cell r="Y2">
            <v>55068.229166666664</v>
          </cell>
          <cell r="Z2">
            <v>55068.229166666664</v>
          </cell>
          <cell r="AA2">
            <v>55068.229166666664</v>
          </cell>
          <cell r="AB2">
            <v>55068.229166666664</v>
          </cell>
          <cell r="AC2">
            <v>55068.229166666664</v>
          </cell>
          <cell r="AD2">
            <v>55068.229166666664</v>
          </cell>
          <cell r="AE2">
            <v>55068.229166666664</v>
          </cell>
          <cell r="AF2">
            <v>55068.229166666664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H2">
            <v>165815.62499999997</v>
          </cell>
          <cell r="CI2">
            <v>165815.62499999997</v>
          </cell>
          <cell r="CJ2">
            <v>165815.62499999997</v>
          </cell>
          <cell r="CK2">
            <v>165815.62499999997</v>
          </cell>
          <cell r="CL2">
            <v>165815.62499999997</v>
          </cell>
          <cell r="CM2">
            <v>165815.62499999997</v>
          </cell>
          <cell r="CN2">
            <v>165815.62499999997</v>
          </cell>
          <cell r="CO2">
            <v>165815.62499999997</v>
          </cell>
          <cell r="CP2">
            <v>165815.62499999997</v>
          </cell>
          <cell r="CQ2">
            <v>165815.62499999997</v>
          </cell>
          <cell r="CR2">
            <v>165815.62499999997</v>
          </cell>
          <cell r="CS2">
            <v>165815.62499999997</v>
          </cell>
        </row>
        <row r="10">
          <cell r="C10">
            <v>19000</v>
          </cell>
          <cell r="D10">
            <v>19000</v>
          </cell>
          <cell r="E10">
            <v>19000</v>
          </cell>
          <cell r="F10">
            <v>31894.067500000001</v>
          </cell>
          <cell r="G10">
            <v>31894.067500000001</v>
          </cell>
          <cell r="H10">
            <v>31894.067500000001</v>
          </cell>
          <cell r="I10">
            <v>31894.067500000001</v>
          </cell>
          <cell r="J10">
            <v>31894.067500000001</v>
          </cell>
          <cell r="K10">
            <v>31894.067500000001</v>
          </cell>
          <cell r="L10">
            <v>32194.067500000001</v>
          </cell>
          <cell r="M10">
            <v>32194.067500000001</v>
          </cell>
          <cell r="N10">
            <v>32194.067500000001</v>
          </cell>
          <cell r="U10">
            <v>36655.688020833331</v>
          </cell>
          <cell r="V10">
            <v>36655.688020833331</v>
          </cell>
          <cell r="W10">
            <v>36655.688020833331</v>
          </cell>
          <cell r="X10">
            <v>36655.688020833331</v>
          </cell>
          <cell r="Y10">
            <v>36655.688020833331</v>
          </cell>
          <cell r="Z10">
            <v>36655.688020833331</v>
          </cell>
          <cell r="AA10">
            <v>36655.688020833331</v>
          </cell>
          <cell r="AB10">
            <v>36655.688020833331</v>
          </cell>
          <cell r="AC10">
            <v>36655.688020833331</v>
          </cell>
          <cell r="AD10">
            <v>36655.688020833331</v>
          </cell>
          <cell r="AE10">
            <v>36655.688020833331</v>
          </cell>
          <cell r="AF10">
            <v>36655.688020833331</v>
          </cell>
          <cell r="AH10">
            <v>41392.85500000001</v>
          </cell>
          <cell r="AI10">
            <v>41392.85500000001</v>
          </cell>
          <cell r="AJ10">
            <v>41392.85500000001</v>
          </cell>
          <cell r="AK10">
            <v>41392.85500000001</v>
          </cell>
          <cell r="AL10">
            <v>41392.85500000001</v>
          </cell>
          <cell r="AM10">
            <v>41392.85500000001</v>
          </cell>
          <cell r="AN10">
            <v>41392.85500000001</v>
          </cell>
          <cell r="AO10">
            <v>41392.85500000001</v>
          </cell>
          <cell r="AP10">
            <v>41392.85500000001</v>
          </cell>
          <cell r="AQ10">
            <v>41392.85500000001</v>
          </cell>
          <cell r="AR10">
            <v>41392.85500000001</v>
          </cell>
          <cell r="AS10">
            <v>41392.85500000001</v>
          </cell>
          <cell r="AU10">
            <v>45852.424250000011</v>
          </cell>
          <cell r="AV10">
            <v>45852.424250000011</v>
          </cell>
          <cell r="AW10">
            <v>45852.424250000011</v>
          </cell>
          <cell r="AX10">
            <v>45852.424250000011</v>
          </cell>
          <cell r="AY10">
            <v>45852.424250000011</v>
          </cell>
          <cell r="AZ10">
            <v>45852.424250000011</v>
          </cell>
          <cell r="BA10">
            <v>45852.424250000011</v>
          </cell>
          <cell r="BB10">
            <v>45852.424250000011</v>
          </cell>
          <cell r="BC10">
            <v>45852.424250000011</v>
          </cell>
          <cell r="BD10">
            <v>45852.424250000011</v>
          </cell>
          <cell r="BE10">
            <v>45852.424250000011</v>
          </cell>
          <cell r="BF10">
            <v>45852.424250000011</v>
          </cell>
          <cell r="BH10">
            <v>50643.569800000012</v>
          </cell>
          <cell r="BI10">
            <v>50643.569800000012</v>
          </cell>
          <cell r="BJ10">
            <v>50643.569800000012</v>
          </cell>
          <cell r="BK10">
            <v>50643.569800000012</v>
          </cell>
          <cell r="BL10">
            <v>50643.569800000012</v>
          </cell>
          <cell r="BM10">
            <v>50643.569800000012</v>
          </cell>
          <cell r="BN10">
            <v>50643.569800000012</v>
          </cell>
          <cell r="BO10">
            <v>50643.569800000012</v>
          </cell>
          <cell r="BP10">
            <v>50643.569800000012</v>
          </cell>
          <cell r="BQ10">
            <v>50643.569800000012</v>
          </cell>
          <cell r="BR10">
            <v>50643.569800000012</v>
          </cell>
          <cell r="BS10">
            <v>50643.569800000012</v>
          </cell>
          <cell r="BU10">
            <v>55799.449280000015</v>
          </cell>
          <cell r="BV10">
            <v>55799.449280000015</v>
          </cell>
          <cell r="BW10">
            <v>55799.449280000015</v>
          </cell>
          <cell r="BX10">
            <v>55799.449280000015</v>
          </cell>
          <cell r="BY10">
            <v>55799.449280000015</v>
          </cell>
          <cell r="BZ10">
            <v>55799.449280000015</v>
          </cell>
          <cell r="CA10">
            <v>55799.449280000015</v>
          </cell>
          <cell r="CB10">
            <v>55799.449280000015</v>
          </cell>
          <cell r="CC10">
            <v>55799.449280000015</v>
          </cell>
          <cell r="CD10">
            <v>55799.449280000015</v>
          </cell>
          <cell r="CE10">
            <v>55799.449280000015</v>
          </cell>
          <cell r="CF10">
            <v>55799.449280000015</v>
          </cell>
          <cell r="CH10">
            <v>60784.632958000017</v>
          </cell>
          <cell r="CI10">
            <v>60784.632958000017</v>
          </cell>
          <cell r="CJ10">
            <v>60784.632958000017</v>
          </cell>
          <cell r="CK10">
            <v>60784.632958000017</v>
          </cell>
          <cell r="CL10">
            <v>60784.632958000017</v>
          </cell>
          <cell r="CM10">
            <v>60784.632958000017</v>
          </cell>
          <cell r="CN10">
            <v>60784.632958000017</v>
          </cell>
          <cell r="CO10">
            <v>60784.632958000017</v>
          </cell>
          <cell r="CP10">
            <v>60784.632958000017</v>
          </cell>
          <cell r="CQ10">
            <v>60784.632958000017</v>
          </cell>
          <cell r="CR10">
            <v>60784.632958000017</v>
          </cell>
          <cell r="CS10">
            <v>60784.632958000017</v>
          </cell>
        </row>
        <row r="51">
          <cell r="F51">
            <v>687.06750000000011</v>
          </cell>
          <cell r="G51">
            <v>687.06750000000011</v>
          </cell>
          <cell r="H51">
            <v>687.06750000000011</v>
          </cell>
          <cell r="I51">
            <v>687.06750000000011</v>
          </cell>
          <cell r="J51">
            <v>687.06750000000011</v>
          </cell>
          <cell r="K51">
            <v>687.06750000000011</v>
          </cell>
          <cell r="L51">
            <v>687.06750000000011</v>
          </cell>
          <cell r="M51">
            <v>687.06750000000011</v>
          </cell>
          <cell r="N51">
            <v>687.06750000000011</v>
          </cell>
          <cell r="U51">
            <v>1927.3880208333335</v>
          </cell>
          <cell r="V51">
            <v>1927.3880208333335</v>
          </cell>
          <cell r="W51">
            <v>1927.3880208333335</v>
          </cell>
          <cell r="X51">
            <v>1927.3880208333335</v>
          </cell>
          <cell r="Y51">
            <v>1927.3880208333335</v>
          </cell>
          <cell r="Z51">
            <v>1927.3880208333335</v>
          </cell>
          <cell r="AA51">
            <v>1927.3880208333335</v>
          </cell>
          <cell r="AB51">
            <v>1927.3880208333335</v>
          </cell>
          <cell r="AC51">
            <v>1927.3880208333335</v>
          </cell>
          <cell r="AD51">
            <v>1927.3880208333335</v>
          </cell>
          <cell r="AE51">
            <v>1927.3880208333335</v>
          </cell>
          <cell r="AF51">
            <v>1927.3880208333335</v>
          </cell>
          <cell r="AH51">
            <v>3095.2250000000004</v>
          </cell>
          <cell r="AI51">
            <v>3095.2250000000004</v>
          </cell>
          <cell r="AJ51">
            <v>3095.2250000000004</v>
          </cell>
          <cell r="AK51">
            <v>3095.2250000000004</v>
          </cell>
          <cell r="AL51">
            <v>3095.2250000000004</v>
          </cell>
          <cell r="AM51">
            <v>3095.2250000000004</v>
          </cell>
          <cell r="AN51">
            <v>3095.2250000000004</v>
          </cell>
          <cell r="AO51">
            <v>3095.2250000000004</v>
          </cell>
          <cell r="AP51">
            <v>3095.2250000000004</v>
          </cell>
          <cell r="AQ51">
            <v>3095.2250000000004</v>
          </cell>
          <cell r="AR51">
            <v>3095.2250000000004</v>
          </cell>
          <cell r="AS51">
            <v>3095.2250000000004</v>
          </cell>
          <cell r="AU51">
            <v>3869.03125</v>
          </cell>
          <cell r="AV51">
            <v>3869.03125</v>
          </cell>
          <cell r="AW51">
            <v>3869.03125</v>
          </cell>
          <cell r="AX51">
            <v>3869.03125</v>
          </cell>
          <cell r="AY51">
            <v>3869.03125</v>
          </cell>
          <cell r="AZ51">
            <v>3869.03125</v>
          </cell>
          <cell r="BA51">
            <v>3869.03125</v>
          </cell>
          <cell r="BB51">
            <v>3869.03125</v>
          </cell>
          <cell r="BC51">
            <v>3869.03125</v>
          </cell>
          <cell r="BD51">
            <v>3869.03125</v>
          </cell>
          <cell r="BE51">
            <v>3869.03125</v>
          </cell>
          <cell r="BF51">
            <v>3869.03125</v>
          </cell>
          <cell r="BH51">
            <v>4642.8374999999996</v>
          </cell>
          <cell r="BI51">
            <v>4642.8374999999996</v>
          </cell>
          <cell r="BJ51">
            <v>4642.8374999999996</v>
          </cell>
          <cell r="BK51">
            <v>4642.8374999999996</v>
          </cell>
          <cell r="BL51">
            <v>4642.8374999999996</v>
          </cell>
          <cell r="BM51">
            <v>4642.8374999999996</v>
          </cell>
          <cell r="BN51">
            <v>4642.8374999999996</v>
          </cell>
          <cell r="BO51">
            <v>4642.8374999999996</v>
          </cell>
          <cell r="BP51">
            <v>4642.8374999999996</v>
          </cell>
          <cell r="BQ51">
            <v>4642.8374999999996</v>
          </cell>
          <cell r="BR51">
            <v>4642.8374999999996</v>
          </cell>
          <cell r="BS51">
            <v>4642.8374999999996</v>
          </cell>
          <cell r="BU51">
            <v>5416.6437499999993</v>
          </cell>
          <cell r="BV51">
            <v>5416.6437499999993</v>
          </cell>
          <cell r="BW51">
            <v>5416.6437499999993</v>
          </cell>
          <cell r="BX51">
            <v>5416.6437499999993</v>
          </cell>
          <cell r="BY51">
            <v>5416.6437499999993</v>
          </cell>
          <cell r="BZ51">
            <v>5416.6437499999993</v>
          </cell>
          <cell r="CA51">
            <v>5416.6437499999993</v>
          </cell>
          <cell r="CB51">
            <v>5416.6437499999993</v>
          </cell>
          <cell r="CC51">
            <v>5416.6437499999993</v>
          </cell>
          <cell r="CD51">
            <v>5416.6437499999993</v>
          </cell>
          <cell r="CE51">
            <v>5416.6437499999993</v>
          </cell>
          <cell r="CF51">
            <v>5416.6437499999993</v>
          </cell>
          <cell r="CH51">
            <v>5803.5468749999991</v>
          </cell>
          <cell r="CI51">
            <v>5803.5468749999991</v>
          </cell>
          <cell r="CJ51">
            <v>5803.5468749999991</v>
          </cell>
          <cell r="CK51">
            <v>5803.5468749999991</v>
          </cell>
          <cell r="CL51">
            <v>5803.5468749999991</v>
          </cell>
          <cell r="CM51">
            <v>5803.5468749999991</v>
          </cell>
          <cell r="CN51">
            <v>5803.5468749999991</v>
          </cell>
          <cell r="CO51">
            <v>5803.5468749999991</v>
          </cell>
          <cell r="CP51">
            <v>5803.5468749999991</v>
          </cell>
          <cell r="CQ51">
            <v>5803.5468749999991</v>
          </cell>
          <cell r="CR51">
            <v>5803.5468749999991</v>
          </cell>
          <cell r="CS51">
            <v>5803.5468749999991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 consolidado"/>
      <sheetName val="Capex Total "/>
    </sheetNames>
    <sheetDataSet>
      <sheetData sheetId="0"/>
      <sheetData sheetId="1">
        <row r="2">
          <cell r="C2">
            <v>15367.87</v>
          </cell>
        </row>
        <row r="3">
          <cell r="C3">
            <v>14853.48</v>
          </cell>
        </row>
        <row r="4">
          <cell r="C4">
            <v>14853.48</v>
          </cell>
        </row>
        <row r="5">
          <cell r="C5">
            <v>14853.48</v>
          </cell>
        </row>
        <row r="6">
          <cell r="C6">
            <v>14853.48</v>
          </cell>
        </row>
        <row r="7">
          <cell r="C7">
            <v>14853.48</v>
          </cell>
        </row>
        <row r="8">
          <cell r="C8">
            <v>14853.48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O2">
            <v>26432.749999999996</v>
          </cell>
          <cell r="P2">
            <v>26432.749999999996</v>
          </cell>
          <cell r="Q2">
            <v>26432.749999999996</v>
          </cell>
          <cell r="R2">
            <v>26432.749999999996</v>
          </cell>
          <cell r="S2">
            <v>26432.749999999996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</row>
        <row r="10">
          <cell r="C10">
            <v>19000</v>
          </cell>
          <cell r="D10">
            <v>19000</v>
          </cell>
          <cell r="E10">
            <v>19000</v>
          </cell>
          <cell r="F10">
            <v>31378.766875000001</v>
          </cell>
          <cell r="G10">
            <v>31378.766875000001</v>
          </cell>
          <cell r="H10">
            <v>32132.146249999998</v>
          </cell>
          <cell r="I10">
            <v>32132.146249999998</v>
          </cell>
          <cell r="J10">
            <v>32132.146249999998</v>
          </cell>
          <cell r="K10">
            <v>32132.146249999998</v>
          </cell>
          <cell r="L10">
            <v>32432.146249999998</v>
          </cell>
          <cell r="M10">
            <v>32432.146249999998</v>
          </cell>
          <cell r="N10">
            <v>32432.146249999998</v>
          </cell>
          <cell r="O10">
            <v>32432.146249999998</v>
          </cell>
          <cell r="P10">
            <v>32432.146249999998</v>
          </cell>
          <cell r="Q10">
            <v>32432.146249999998</v>
          </cell>
          <cell r="R10">
            <v>32432.146249999998</v>
          </cell>
          <cell r="S10">
            <v>32432.146249999998</v>
          </cell>
          <cell r="U10">
            <v>36662.815625000003</v>
          </cell>
          <cell r="V10">
            <v>36662.815625000003</v>
          </cell>
          <cell r="W10">
            <v>36662.815625000003</v>
          </cell>
          <cell r="X10">
            <v>36662.815625000003</v>
          </cell>
          <cell r="Y10">
            <v>36662.815625000003</v>
          </cell>
          <cell r="Z10">
            <v>36662.815625000003</v>
          </cell>
          <cell r="AA10">
            <v>36662.815625000003</v>
          </cell>
          <cell r="AB10">
            <v>36662.815625000003</v>
          </cell>
          <cell r="AC10">
            <v>36662.815625000003</v>
          </cell>
          <cell r="AD10">
            <v>36662.815625000003</v>
          </cell>
          <cell r="AE10">
            <v>36662.815625000003</v>
          </cell>
          <cell r="AF10">
            <v>36662.815625000003</v>
          </cell>
          <cell r="AH10">
            <v>41392.85500000001</v>
          </cell>
          <cell r="AI10">
            <v>41392.85500000001</v>
          </cell>
          <cell r="AJ10">
            <v>41392.85500000001</v>
          </cell>
          <cell r="AK10">
            <v>41392.85500000001</v>
          </cell>
          <cell r="AL10">
            <v>41392.85500000001</v>
          </cell>
          <cell r="AM10">
            <v>41392.85500000001</v>
          </cell>
          <cell r="AN10">
            <v>41392.85500000001</v>
          </cell>
          <cell r="AO10">
            <v>41392.85500000001</v>
          </cell>
          <cell r="AP10">
            <v>41392.85500000001</v>
          </cell>
          <cell r="AQ10">
            <v>41392.85500000001</v>
          </cell>
          <cell r="AR10">
            <v>41392.85500000001</v>
          </cell>
          <cell r="AS10">
            <v>41392.85500000001</v>
          </cell>
          <cell r="AU10">
            <v>45852.424250000011</v>
          </cell>
          <cell r="AV10">
            <v>45852.424250000011</v>
          </cell>
          <cell r="AW10">
            <v>45852.424250000011</v>
          </cell>
          <cell r="AX10">
            <v>45852.424250000011</v>
          </cell>
          <cell r="AY10">
            <v>45852.424250000011</v>
          </cell>
          <cell r="AZ10">
            <v>45852.424250000011</v>
          </cell>
          <cell r="BA10">
            <v>45852.424250000011</v>
          </cell>
          <cell r="BB10">
            <v>45852.424250000011</v>
          </cell>
          <cell r="BC10">
            <v>45852.424250000011</v>
          </cell>
          <cell r="BD10">
            <v>45852.424250000011</v>
          </cell>
          <cell r="BE10">
            <v>45852.424250000011</v>
          </cell>
          <cell r="BF10">
            <v>45852.424250000011</v>
          </cell>
          <cell r="BH10">
            <v>50643.569800000012</v>
          </cell>
          <cell r="BI10">
            <v>50643.569800000012</v>
          </cell>
          <cell r="BJ10">
            <v>50643.569800000012</v>
          </cell>
          <cell r="BK10">
            <v>50643.569800000012</v>
          </cell>
          <cell r="BL10">
            <v>50643.569800000012</v>
          </cell>
          <cell r="BM10">
            <v>50643.569800000012</v>
          </cell>
          <cell r="BN10">
            <v>50643.569800000012</v>
          </cell>
          <cell r="BO10">
            <v>50643.569800000012</v>
          </cell>
          <cell r="BP10">
            <v>50643.569800000012</v>
          </cell>
          <cell r="BQ10">
            <v>50643.569800000012</v>
          </cell>
          <cell r="BR10">
            <v>50643.569800000012</v>
          </cell>
          <cell r="BS10">
            <v>50643.569800000012</v>
          </cell>
          <cell r="BU10">
            <v>55799.449280000015</v>
          </cell>
          <cell r="BV10">
            <v>55799.449280000015</v>
          </cell>
          <cell r="BW10">
            <v>55799.449280000015</v>
          </cell>
          <cell r="BX10">
            <v>55799.449280000015</v>
          </cell>
          <cell r="BY10">
            <v>55799.449280000015</v>
          </cell>
          <cell r="BZ10">
            <v>55799.449280000015</v>
          </cell>
          <cell r="CA10">
            <v>55799.449280000015</v>
          </cell>
          <cell r="CB10">
            <v>55799.449280000015</v>
          </cell>
          <cell r="CC10">
            <v>55799.449280000015</v>
          </cell>
          <cell r="CD10">
            <v>55799.449280000015</v>
          </cell>
          <cell r="CE10">
            <v>55799.449280000015</v>
          </cell>
          <cell r="CF10">
            <v>55799.449280000015</v>
          </cell>
        </row>
        <row r="51">
          <cell r="F51">
            <v>171.76687500000003</v>
          </cell>
          <cell r="G51">
            <v>171.76687500000003</v>
          </cell>
          <cell r="H51">
            <v>925.14625000000001</v>
          </cell>
          <cell r="I51">
            <v>925.14625000000001</v>
          </cell>
          <cell r="J51">
            <v>925.14625000000001</v>
          </cell>
          <cell r="K51">
            <v>925.14625000000001</v>
          </cell>
          <cell r="L51">
            <v>925.14625000000001</v>
          </cell>
          <cell r="M51">
            <v>925.14625000000001</v>
          </cell>
          <cell r="N51">
            <v>925.14625000000001</v>
          </cell>
          <cell r="O51">
            <v>925.14625000000001</v>
          </cell>
          <cell r="P51">
            <v>925.14625000000001</v>
          </cell>
          <cell r="Q51">
            <v>925.14625000000001</v>
          </cell>
          <cell r="R51">
            <v>925.14625000000001</v>
          </cell>
          <cell r="S51">
            <v>925.14625000000001</v>
          </cell>
          <cell r="U51">
            <v>1934.515625</v>
          </cell>
          <cell r="V51">
            <v>1934.515625</v>
          </cell>
          <cell r="W51">
            <v>1934.515625</v>
          </cell>
          <cell r="X51">
            <v>1934.515625</v>
          </cell>
          <cell r="Y51">
            <v>1934.515625</v>
          </cell>
          <cell r="Z51">
            <v>1934.515625</v>
          </cell>
          <cell r="AA51">
            <v>1934.515625</v>
          </cell>
          <cell r="AB51">
            <v>1934.515625</v>
          </cell>
          <cell r="AC51">
            <v>1934.515625</v>
          </cell>
          <cell r="AD51">
            <v>1934.515625</v>
          </cell>
          <cell r="AE51">
            <v>1934.515625</v>
          </cell>
          <cell r="AF51">
            <v>1934.515625</v>
          </cell>
          <cell r="AH51">
            <v>3095.2250000000004</v>
          </cell>
          <cell r="AI51">
            <v>3095.2250000000004</v>
          </cell>
          <cell r="AJ51">
            <v>3095.2250000000004</v>
          </cell>
          <cell r="AK51">
            <v>3095.2250000000004</v>
          </cell>
          <cell r="AL51">
            <v>3095.2250000000004</v>
          </cell>
          <cell r="AM51">
            <v>3095.2250000000004</v>
          </cell>
          <cell r="AN51">
            <v>3095.2250000000004</v>
          </cell>
          <cell r="AO51">
            <v>3095.2250000000004</v>
          </cell>
          <cell r="AP51">
            <v>3095.2250000000004</v>
          </cell>
          <cell r="AQ51">
            <v>3095.2250000000004</v>
          </cell>
          <cell r="AR51">
            <v>3095.2250000000004</v>
          </cell>
          <cell r="AS51">
            <v>3095.2250000000004</v>
          </cell>
          <cell r="AU51">
            <v>3869.03125</v>
          </cell>
          <cell r="AV51">
            <v>3869.03125</v>
          </cell>
          <cell r="AW51">
            <v>3869.03125</v>
          </cell>
          <cell r="AX51">
            <v>3869.03125</v>
          </cell>
          <cell r="AY51">
            <v>3869.03125</v>
          </cell>
          <cell r="AZ51">
            <v>3869.03125</v>
          </cell>
          <cell r="BA51">
            <v>3869.03125</v>
          </cell>
          <cell r="BB51">
            <v>3869.03125</v>
          </cell>
          <cell r="BC51">
            <v>3869.03125</v>
          </cell>
          <cell r="BD51">
            <v>3869.03125</v>
          </cell>
          <cell r="BE51">
            <v>3869.03125</v>
          </cell>
          <cell r="BF51">
            <v>3869.03125</v>
          </cell>
          <cell r="BH51">
            <v>4642.8374999999996</v>
          </cell>
          <cell r="BI51">
            <v>4642.8374999999996</v>
          </cell>
          <cell r="BJ51">
            <v>4642.8374999999996</v>
          </cell>
          <cell r="BK51">
            <v>4642.8374999999996</v>
          </cell>
          <cell r="BL51">
            <v>4642.8374999999996</v>
          </cell>
          <cell r="BM51">
            <v>4642.8374999999996</v>
          </cell>
          <cell r="BN51">
            <v>4642.8374999999996</v>
          </cell>
          <cell r="BO51">
            <v>4642.8374999999996</v>
          </cell>
          <cell r="BP51">
            <v>4642.8374999999996</v>
          </cell>
          <cell r="BQ51">
            <v>4642.8374999999996</v>
          </cell>
          <cell r="BR51">
            <v>4642.8374999999996</v>
          </cell>
          <cell r="BS51">
            <v>4642.8374999999996</v>
          </cell>
          <cell r="BU51">
            <v>5416.6437499999993</v>
          </cell>
          <cell r="BV51">
            <v>5416.6437499999993</v>
          </cell>
          <cell r="BW51">
            <v>5416.6437499999993</v>
          </cell>
          <cell r="BX51">
            <v>5416.6437499999993</v>
          </cell>
          <cell r="BY51">
            <v>5416.6437499999993</v>
          </cell>
          <cell r="BZ51">
            <v>5416.6437499999993</v>
          </cell>
          <cell r="CA51">
            <v>5416.6437499999993</v>
          </cell>
          <cell r="CB51">
            <v>5416.6437499999993</v>
          </cell>
          <cell r="CC51">
            <v>5416.6437499999993</v>
          </cell>
          <cell r="CD51">
            <v>5416.6437499999993</v>
          </cell>
          <cell r="CE51">
            <v>5416.6437499999993</v>
          </cell>
          <cell r="CF51">
            <v>5416.6437499999993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</row>
        <row r="10">
          <cell r="C10">
            <v>19000</v>
          </cell>
          <cell r="D10">
            <v>19000</v>
          </cell>
          <cell r="E10">
            <v>19000</v>
          </cell>
          <cell r="F10">
            <v>31378.766875000001</v>
          </cell>
          <cell r="G10">
            <v>31378.766875000001</v>
          </cell>
          <cell r="H10">
            <v>32132.146249999998</v>
          </cell>
          <cell r="I10">
            <v>32132.146249999998</v>
          </cell>
          <cell r="J10">
            <v>32132.146249999998</v>
          </cell>
          <cell r="K10">
            <v>32132.146249999998</v>
          </cell>
          <cell r="L10">
            <v>32432.146249999998</v>
          </cell>
          <cell r="M10">
            <v>32432.146249999998</v>
          </cell>
          <cell r="N10">
            <v>32432.146249999998</v>
          </cell>
          <cell r="U10">
            <v>36662.815625000003</v>
          </cell>
          <cell r="V10">
            <v>36662.815625000003</v>
          </cell>
          <cell r="W10">
            <v>36662.815625000003</v>
          </cell>
          <cell r="X10">
            <v>36662.815625000003</v>
          </cell>
          <cell r="Y10">
            <v>36662.815625000003</v>
          </cell>
          <cell r="Z10">
            <v>36662.815625000003</v>
          </cell>
          <cell r="AA10">
            <v>36662.815625000003</v>
          </cell>
          <cell r="AB10">
            <v>36662.815625000003</v>
          </cell>
          <cell r="AC10">
            <v>36662.815625000003</v>
          </cell>
          <cell r="AD10">
            <v>36662.815625000003</v>
          </cell>
          <cell r="AE10">
            <v>36662.815625000003</v>
          </cell>
          <cell r="AF10">
            <v>36662.815625000003</v>
          </cell>
          <cell r="AH10">
            <v>41392.85500000001</v>
          </cell>
          <cell r="AI10">
            <v>41392.85500000001</v>
          </cell>
          <cell r="AJ10">
            <v>41392.85500000001</v>
          </cell>
          <cell r="AK10">
            <v>41392.85500000001</v>
          </cell>
          <cell r="AL10">
            <v>41392.85500000001</v>
          </cell>
          <cell r="AM10">
            <v>41392.85500000001</v>
          </cell>
          <cell r="AN10">
            <v>41392.85500000001</v>
          </cell>
          <cell r="AO10">
            <v>41392.85500000001</v>
          </cell>
          <cell r="AP10">
            <v>41392.85500000001</v>
          </cell>
          <cell r="AQ10">
            <v>41392.85500000001</v>
          </cell>
          <cell r="AR10">
            <v>41392.85500000001</v>
          </cell>
          <cell r="AS10">
            <v>41392.85500000001</v>
          </cell>
          <cell r="AU10">
            <v>45852.424250000011</v>
          </cell>
          <cell r="AV10">
            <v>45852.424250000011</v>
          </cell>
          <cell r="AW10">
            <v>45852.424250000011</v>
          </cell>
          <cell r="AX10">
            <v>45852.424250000011</v>
          </cell>
          <cell r="AY10">
            <v>45852.424250000011</v>
          </cell>
          <cell r="AZ10">
            <v>45852.424250000011</v>
          </cell>
          <cell r="BA10">
            <v>45852.424250000011</v>
          </cell>
          <cell r="BB10">
            <v>45852.424250000011</v>
          </cell>
          <cell r="BC10">
            <v>45852.424250000011</v>
          </cell>
          <cell r="BD10">
            <v>45852.424250000011</v>
          </cell>
          <cell r="BE10">
            <v>45852.424250000011</v>
          </cell>
          <cell r="BF10">
            <v>45852.424250000011</v>
          </cell>
          <cell r="BH10">
            <v>50643.569800000012</v>
          </cell>
          <cell r="BI10">
            <v>50643.569800000012</v>
          </cell>
          <cell r="BJ10">
            <v>50643.569800000012</v>
          </cell>
          <cell r="BK10">
            <v>50643.569800000012</v>
          </cell>
          <cell r="BL10">
            <v>50643.569800000012</v>
          </cell>
          <cell r="BM10">
            <v>50643.569800000012</v>
          </cell>
          <cell r="BN10">
            <v>50643.569800000012</v>
          </cell>
          <cell r="BO10">
            <v>50643.569800000012</v>
          </cell>
          <cell r="BP10">
            <v>50643.569800000012</v>
          </cell>
          <cell r="BQ10">
            <v>50643.569800000012</v>
          </cell>
          <cell r="BR10">
            <v>50643.569800000012</v>
          </cell>
          <cell r="BS10">
            <v>50643.569800000012</v>
          </cell>
          <cell r="BU10">
            <v>55799.449280000015</v>
          </cell>
          <cell r="BV10">
            <v>55799.449280000015</v>
          </cell>
          <cell r="BW10">
            <v>55799.449280000015</v>
          </cell>
          <cell r="BX10">
            <v>55799.449280000015</v>
          </cell>
          <cell r="BY10">
            <v>55799.449280000015</v>
          </cell>
          <cell r="BZ10">
            <v>55799.449280000015</v>
          </cell>
          <cell r="CA10">
            <v>55799.449280000015</v>
          </cell>
          <cell r="CB10">
            <v>55799.449280000015</v>
          </cell>
          <cell r="CC10">
            <v>55799.449280000015</v>
          </cell>
          <cell r="CD10">
            <v>55799.449280000015</v>
          </cell>
          <cell r="CE10">
            <v>55799.449280000015</v>
          </cell>
          <cell r="CF10">
            <v>55799.449280000015</v>
          </cell>
        </row>
        <row r="51">
          <cell r="F51">
            <v>171.76687500000003</v>
          </cell>
          <cell r="G51">
            <v>171.76687500000003</v>
          </cell>
          <cell r="H51">
            <v>925.14625000000001</v>
          </cell>
          <cell r="I51">
            <v>925.14625000000001</v>
          </cell>
          <cell r="J51">
            <v>925.14625000000001</v>
          </cell>
          <cell r="K51">
            <v>925.14625000000001</v>
          </cell>
          <cell r="L51">
            <v>925.14625000000001</v>
          </cell>
          <cell r="M51">
            <v>925.14625000000001</v>
          </cell>
          <cell r="N51">
            <v>925.14625000000001</v>
          </cell>
          <cell r="U51">
            <v>1934.515625</v>
          </cell>
          <cell r="V51">
            <v>1934.515625</v>
          </cell>
          <cell r="W51">
            <v>1934.515625</v>
          </cell>
          <cell r="X51">
            <v>1934.515625</v>
          </cell>
          <cell r="Y51">
            <v>1934.515625</v>
          </cell>
          <cell r="Z51">
            <v>1934.515625</v>
          </cell>
          <cell r="AA51">
            <v>1934.515625</v>
          </cell>
          <cell r="AB51">
            <v>1934.515625</v>
          </cell>
          <cell r="AC51">
            <v>1934.515625</v>
          </cell>
          <cell r="AD51">
            <v>1934.515625</v>
          </cell>
          <cell r="AE51">
            <v>1934.515625</v>
          </cell>
          <cell r="AF51">
            <v>1934.515625</v>
          </cell>
          <cell r="AH51">
            <v>3095.2250000000004</v>
          </cell>
          <cell r="AI51">
            <v>3095.2250000000004</v>
          </cell>
          <cell r="AJ51">
            <v>3095.2250000000004</v>
          </cell>
          <cell r="AK51">
            <v>3095.2250000000004</v>
          </cell>
          <cell r="AL51">
            <v>3095.2250000000004</v>
          </cell>
          <cell r="AM51">
            <v>3095.2250000000004</v>
          </cell>
          <cell r="AN51">
            <v>3095.2250000000004</v>
          </cell>
          <cell r="AO51">
            <v>3095.2250000000004</v>
          </cell>
          <cell r="AP51">
            <v>3095.2250000000004</v>
          </cell>
          <cell r="AQ51">
            <v>3095.2250000000004</v>
          </cell>
          <cell r="AR51">
            <v>3095.2250000000004</v>
          </cell>
          <cell r="AS51">
            <v>3095.2250000000004</v>
          </cell>
          <cell r="AU51">
            <v>3869.03125</v>
          </cell>
          <cell r="AV51">
            <v>3869.03125</v>
          </cell>
          <cell r="AW51">
            <v>3869.03125</v>
          </cell>
          <cell r="AX51">
            <v>3869.03125</v>
          </cell>
          <cell r="AY51">
            <v>3869.03125</v>
          </cell>
          <cell r="AZ51">
            <v>3869.03125</v>
          </cell>
          <cell r="BA51">
            <v>3869.03125</v>
          </cell>
          <cell r="BB51">
            <v>3869.03125</v>
          </cell>
          <cell r="BC51">
            <v>3869.03125</v>
          </cell>
          <cell r="BD51">
            <v>3869.03125</v>
          </cell>
          <cell r="BE51">
            <v>3869.03125</v>
          </cell>
          <cell r="BF51">
            <v>3869.03125</v>
          </cell>
          <cell r="BH51">
            <v>4642.8374999999996</v>
          </cell>
          <cell r="BI51">
            <v>4642.8374999999996</v>
          </cell>
          <cell r="BJ51">
            <v>4642.8374999999996</v>
          </cell>
          <cell r="BK51">
            <v>4642.8374999999996</v>
          </cell>
          <cell r="BL51">
            <v>4642.8374999999996</v>
          </cell>
          <cell r="BM51">
            <v>4642.8374999999996</v>
          </cell>
          <cell r="BN51">
            <v>4642.8374999999996</v>
          </cell>
          <cell r="BO51">
            <v>4642.8374999999996</v>
          </cell>
          <cell r="BP51">
            <v>4642.8374999999996</v>
          </cell>
          <cell r="BQ51">
            <v>4642.8374999999996</v>
          </cell>
          <cell r="BR51">
            <v>4642.8374999999996</v>
          </cell>
          <cell r="BS51">
            <v>4642.8374999999996</v>
          </cell>
          <cell r="BU51">
            <v>5416.6437499999993</v>
          </cell>
          <cell r="BV51">
            <v>5416.6437499999993</v>
          </cell>
          <cell r="BW51">
            <v>5416.6437499999993</v>
          </cell>
          <cell r="BX51">
            <v>5416.6437499999993</v>
          </cell>
          <cell r="BY51">
            <v>5416.6437499999993</v>
          </cell>
          <cell r="BZ51">
            <v>5416.6437499999993</v>
          </cell>
          <cell r="CA51">
            <v>5416.6437499999993</v>
          </cell>
          <cell r="CB51">
            <v>5416.6437499999993</v>
          </cell>
          <cell r="CC51">
            <v>5416.6437499999993</v>
          </cell>
          <cell r="CD51">
            <v>5416.6437499999993</v>
          </cell>
          <cell r="CE51">
            <v>5416.6437499999993</v>
          </cell>
          <cell r="CF51">
            <v>5416.6437499999993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O2">
            <v>26432.749999999996</v>
          </cell>
          <cell r="P2">
            <v>26432.749999999996</v>
          </cell>
          <cell r="Q2">
            <v>26432.749999999996</v>
          </cell>
          <cell r="R2">
            <v>26432.749999999996</v>
          </cell>
          <cell r="S2">
            <v>26432.749999999996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</row>
        <row r="10">
          <cell r="C10">
            <v>19000</v>
          </cell>
          <cell r="D10">
            <v>19000</v>
          </cell>
          <cell r="E10">
            <v>19000</v>
          </cell>
          <cell r="F10">
            <v>31378.766875000001</v>
          </cell>
          <cell r="G10">
            <v>31378.766875000001</v>
          </cell>
          <cell r="H10">
            <v>32132.146249999998</v>
          </cell>
          <cell r="I10">
            <v>32132.146249999998</v>
          </cell>
          <cell r="J10">
            <v>32132.146249999998</v>
          </cell>
          <cell r="K10">
            <v>32132.146249999998</v>
          </cell>
          <cell r="L10">
            <v>32432.146249999998</v>
          </cell>
          <cell r="M10">
            <v>32432.146249999998</v>
          </cell>
          <cell r="N10">
            <v>32432.146249999998</v>
          </cell>
          <cell r="O10">
            <v>32432.146249999998</v>
          </cell>
          <cell r="P10">
            <v>32432.146249999998</v>
          </cell>
          <cell r="Q10">
            <v>32432.146249999998</v>
          </cell>
          <cell r="R10">
            <v>32432.146249999998</v>
          </cell>
          <cell r="S10">
            <v>32432.146249999998</v>
          </cell>
          <cell r="U10">
            <v>36662.815625000003</v>
          </cell>
          <cell r="V10">
            <v>36662.815625000003</v>
          </cell>
          <cell r="W10">
            <v>36662.815625000003</v>
          </cell>
          <cell r="X10">
            <v>36662.815625000003</v>
          </cell>
          <cell r="Y10">
            <v>36662.815625000003</v>
          </cell>
          <cell r="Z10">
            <v>36662.815625000003</v>
          </cell>
          <cell r="AA10">
            <v>36662.815625000003</v>
          </cell>
          <cell r="AB10">
            <v>36662.815625000003</v>
          </cell>
          <cell r="AC10">
            <v>36662.815625000003</v>
          </cell>
          <cell r="AD10">
            <v>36662.815625000003</v>
          </cell>
          <cell r="AE10">
            <v>36662.815625000003</v>
          </cell>
          <cell r="AF10">
            <v>36662.815625000003</v>
          </cell>
          <cell r="AH10">
            <v>41392.85500000001</v>
          </cell>
          <cell r="AI10">
            <v>41392.85500000001</v>
          </cell>
          <cell r="AJ10">
            <v>41392.85500000001</v>
          </cell>
          <cell r="AK10">
            <v>41392.85500000001</v>
          </cell>
          <cell r="AL10">
            <v>41392.85500000001</v>
          </cell>
          <cell r="AM10">
            <v>41392.85500000001</v>
          </cell>
          <cell r="AN10">
            <v>41392.85500000001</v>
          </cell>
          <cell r="AO10">
            <v>41392.85500000001</v>
          </cell>
          <cell r="AP10">
            <v>41392.85500000001</v>
          </cell>
          <cell r="AQ10">
            <v>41392.85500000001</v>
          </cell>
          <cell r="AR10">
            <v>41392.85500000001</v>
          </cell>
          <cell r="AS10">
            <v>41392.85500000001</v>
          </cell>
          <cell r="AU10">
            <v>45852.424250000011</v>
          </cell>
          <cell r="AV10">
            <v>45852.424250000011</v>
          </cell>
          <cell r="AW10">
            <v>45852.424250000011</v>
          </cell>
          <cell r="AX10">
            <v>45852.424250000011</v>
          </cell>
          <cell r="AY10">
            <v>45852.424250000011</v>
          </cell>
          <cell r="AZ10">
            <v>45852.424250000011</v>
          </cell>
          <cell r="BA10">
            <v>45852.424250000011</v>
          </cell>
          <cell r="BB10">
            <v>45852.424250000011</v>
          </cell>
          <cell r="BC10">
            <v>45852.424250000011</v>
          </cell>
          <cell r="BD10">
            <v>45852.424250000011</v>
          </cell>
          <cell r="BE10">
            <v>45852.424250000011</v>
          </cell>
          <cell r="BF10">
            <v>45852.424250000011</v>
          </cell>
          <cell r="BH10">
            <v>50643.569800000012</v>
          </cell>
          <cell r="BI10">
            <v>50643.569800000012</v>
          </cell>
          <cell r="BJ10">
            <v>50643.569800000012</v>
          </cell>
          <cell r="BK10">
            <v>50643.569800000012</v>
          </cell>
          <cell r="BL10">
            <v>50643.569800000012</v>
          </cell>
          <cell r="BM10">
            <v>50643.569800000012</v>
          </cell>
          <cell r="BN10">
            <v>50643.569800000012</v>
          </cell>
          <cell r="BO10">
            <v>50643.569800000012</v>
          </cell>
          <cell r="BP10">
            <v>50643.569800000012</v>
          </cell>
          <cell r="BQ10">
            <v>50643.569800000012</v>
          </cell>
          <cell r="BR10">
            <v>50643.569800000012</v>
          </cell>
          <cell r="BS10">
            <v>50643.569800000012</v>
          </cell>
        </row>
        <row r="51">
          <cell r="F51">
            <v>171.76687500000003</v>
          </cell>
          <cell r="G51">
            <v>171.76687500000003</v>
          </cell>
          <cell r="H51">
            <v>925.14625000000001</v>
          </cell>
          <cell r="I51">
            <v>925.14625000000001</v>
          </cell>
          <cell r="J51">
            <v>925.14625000000001</v>
          </cell>
          <cell r="K51">
            <v>925.14625000000001</v>
          </cell>
          <cell r="L51">
            <v>925.14625000000001</v>
          </cell>
          <cell r="M51">
            <v>925.14625000000001</v>
          </cell>
          <cell r="N51">
            <v>925.14625000000001</v>
          </cell>
          <cell r="O51">
            <v>925.14625000000001</v>
          </cell>
          <cell r="P51">
            <v>925.14625000000001</v>
          </cell>
          <cell r="Q51">
            <v>925.14625000000001</v>
          </cell>
          <cell r="R51">
            <v>925.14625000000001</v>
          </cell>
          <cell r="S51">
            <v>925.14625000000001</v>
          </cell>
          <cell r="U51">
            <v>1934.515625</v>
          </cell>
          <cell r="V51">
            <v>1934.515625</v>
          </cell>
          <cell r="W51">
            <v>1934.515625</v>
          </cell>
          <cell r="X51">
            <v>1934.515625</v>
          </cell>
          <cell r="Y51">
            <v>1934.515625</v>
          </cell>
          <cell r="Z51">
            <v>1934.515625</v>
          </cell>
          <cell r="AA51">
            <v>1934.515625</v>
          </cell>
          <cell r="AB51">
            <v>1934.515625</v>
          </cell>
          <cell r="AC51">
            <v>1934.515625</v>
          </cell>
          <cell r="AD51">
            <v>1934.515625</v>
          </cell>
          <cell r="AE51">
            <v>1934.515625</v>
          </cell>
          <cell r="AF51">
            <v>1934.515625</v>
          </cell>
          <cell r="AH51">
            <v>3095.2250000000004</v>
          </cell>
          <cell r="AI51">
            <v>3095.2250000000004</v>
          </cell>
          <cell r="AJ51">
            <v>3095.2250000000004</v>
          </cell>
          <cell r="AK51">
            <v>3095.2250000000004</v>
          </cell>
          <cell r="AL51">
            <v>3095.2250000000004</v>
          </cell>
          <cell r="AM51">
            <v>3095.2250000000004</v>
          </cell>
          <cell r="AN51">
            <v>3095.2250000000004</v>
          </cell>
          <cell r="AO51">
            <v>3095.2250000000004</v>
          </cell>
          <cell r="AP51">
            <v>3095.2250000000004</v>
          </cell>
          <cell r="AQ51">
            <v>3095.2250000000004</v>
          </cell>
          <cell r="AR51">
            <v>3095.2250000000004</v>
          </cell>
          <cell r="AS51">
            <v>3095.2250000000004</v>
          </cell>
          <cell r="AU51">
            <v>3869.03125</v>
          </cell>
          <cell r="AV51">
            <v>3869.03125</v>
          </cell>
          <cell r="AW51">
            <v>3869.03125</v>
          </cell>
          <cell r="AX51">
            <v>3869.03125</v>
          </cell>
          <cell r="AY51">
            <v>3869.03125</v>
          </cell>
          <cell r="AZ51">
            <v>3869.03125</v>
          </cell>
          <cell r="BA51">
            <v>3869.03125</v>
          </cell>
          <cell r="BB51">
            <v>3869.03125</v>
          </cell>
          <cell r="BC51">
            <v>3869.03125</v>
          </cell>
          <cell r="BD51">
            <v>3869.03125</v>
          </cell>
          <cell r="BE51">
            <v>3869.03125</v>
          </cell>
          <cell r="BF51">
            <v>3869.03125</v>
          </cell>
          <cell r="BH51">
            <v>4642.8374999999996</v>
          </cell>
          <cell r="BI51">
            <v>4642.8374999999996</v>
          </cell>
          <cell r="BJ51">
            <v>4642.8374999999996</v>
          </cell>
          <cell r="BK51">
            <v>4642.8374999999996</v>
          </cell>
          <cell r="BL51">
            <v>4642.8374999999996</v>
          </cell>
          <cell r="BM51">
            <v>4642.8374999999996</v>
          </cell>
          <cell r="BN51">
            <v>4642.8374999999996</v>
          </cell>
          <cell r="BO51">
            <v>4642.8374999999996</v>
          </cell>
          <cell r="BP51">
            <v>4642.8374999999996</v>
          </cell>
          <cell r="BQ51">
            <v>4642.8374999999996</v>
          </cell>
          <cell r="BR51">
            <v>4642.8374999999996</v>
          </cell>
          <cell r="BS51">
            <v>4642.8374999999996</v>
          </cell>
        </row>
      </sheetData>
      <sheetData sheetId="1"/>
      <sheetData sheetId="2">
        <row r="7">
          <cell r="C7">
            <v>411358.65999999992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</row>
        <row r="10">
          <cell r="C10">
            <v>19000</v>
          </cell>
          <cell r="D10">
            <v>19000</v>
          </cell>
          <cell r="E10">
            <v>19000</v>
          </cell>
          <cell r="F10">
            <v>31378.766875000001</v>
          </cell>
          <cell r="G10">
            <v>31378.766875000001</v>
          </cell>
          <cell r="H10">
            <v>32132.146249999998</v>
          </cell>
          <cell r="I10">
            <v>32132.146249999998</v>
          </cell>
          <cell r="J10">
            <v>32132.146249999998</v>
          </cell>
          <cell r="K10">
            <v>32132.146249999998</v>
          </cell>
          <cell r="L10">
            <v>32432.146249999998</v>
          </cell>
          <cell r="M10">
            <v>32432.146249999998</v>
          </cell>
          <cell r="N10">
            <v>32432.146249999998</v>
          </cell>
          <cell r="U10">
            <v>36662.815625000003</v>
          </cell>
          <cell r="V10">
            <v>36662.815625000003</v>
          </cell>
          <cell r="W10">
            <v>36662.815625000003</v>
          </cell>
          <cell r="X10">
            <v>36662.815625000003</v>
          </cell>
          <cell r="Y10">
            <v>36662.815625000003</v>
          </cell>
          <cell r="Z10">
            <v>36662.815625000003</v>
          </cell>
          <cell r="AA10">
            <v>36662.815625000003</v>
          </cell>
          <cell r="AB10">
            <v>36662.815625000003</v>
          </cell>
          <cell r="AC10">
            <v>36662.815625000003</v>
          </cell>
          <cell r="AD10">
            <v>36662.815625000003</v>
          </cell>
          <cell r="AE10">
            <v>36662.815625000003</v>
          </cell>
          <cell r="AF10">
            <v>36662.815625000003</v>
          </cell>
          <cell r="AH10">
            <v>41392.85500000001</v>
          </cell>
          <cell r="AI10">
            <v>41392.85500000001</v>
          </cell>
          <cell r="AJ10">
            <v>41392.85500000001</v>
          </cell>
          <cell r="AK10">
            <v>41392.85500000001</v>
          </cell>
          <cell r="AL10">
            <v>41392.85500000001</v>
          </cell>
          <cell r="AM10">
            <v>41392.85500000001</v>
          </cell>
          <cell r="AN10">
            <v>41392.85500000001</v>
          </cell>
          <cell r="AO10">
            <v>41392.85500000001</v>
          </cell>
          <cell r="AP10">
            <v>41392.85500000001</v>
          </cell>
          <cell r="AQ10">
            <v>41392.85500000001</v>
          </cell>
          <cell r="AR10">
            <v>41392.85500000001</v>
          </cell>
          <cell r="AS10">
            <v>41392.85500000001</v>
          </cell>
          <cell r="AU10">
            <v>45852.424250000011</v>
          </cell>
          <cell r="AV10">
            <v>45852.424250000011</v>
          </cell>
          <cell r="AW10">
            <v>45852.424250000011</v>
          </cell>
          <cell r="AX10">
            <v>45852.424250000011</v>
          </cell>
          <cell r="AY10">
            <v>45852.424250000011</v>
          </cell>
          <cell r="AZ10">
            <v>45852.424250000011</v>
          </cell>
          <cell r="BA10">
            <v>45852.424250000011</v>
          </cell>
          <cell r="BB10">
            <v>45852.424250000011</v>
          </cell>
          <cell r="BC10">
            <v>45852.424250000011</v>
          </cell>
          <cell r="BD10">
            <v>45852.424250000011</v>
          </cell>
          <cell r="BE10">
            <v>45852.424250000011</v>
          </cell>
          <cell r="BF10">
            <v>45852.424250000011</v>
          </cell>
          <cell r="BH10">
            <v>50643.569800000012</v>
          </cell>
          <cell r="BI10">
            <v>50643.569800000012</v>
          </cell>
          <cell r="BJ10">
            <v>50643.569800000012</v>
          </cell>
          <cell r="BK10">
            <v>50643.569800000012</v>
          </cell>
          <cell r="BL10">
            <v>50643.569800000012</v>
          </cell>
          <cell r="BM10">
            <v>50643.569800000012</v>
          </cell>
          <cell r="BN10">
            <v>50643.569800000012</v>
          </cell>
          <cell r="BO10">
            <v>50643.569800000012</v>
          </cell>
          <cell r="BP10">
            <v>50643.569800000012</v>
          </cell>
          <cell r="BQ10">
            <v>50643.569800000012</v>
          </cell>
          <cell r="BR10">
            <v>50643.569800000012</v>
          </cell>
          <cell r="BS10">
            <v>50643.569800000012</v>
          </cell>
        </row>
        <row r="51">
          <cell r="F51">
            <v>171.76687500000003</v>
          </cell>
          <cell r="G51">
            <v>171.76687500000003</v>
          </cell>
          <cell r="H51">
            <v>925.14625000000001</v>
          </cell>
          <cell r="I51">
            <v>925.14625000000001</v>
          </cell>
          <cell r="J51">
            <v>925.14625000000001</v>
          </cell>
          <cell r="K51">
            <v>925.14625000000001</v>
          </cell>
          <cell r="L51">
            <v>925.14625000000001</v>
          </cell>
          <cell r="M51">
            <v>925.14625000000001</v>
          </cell>
          <cell r="N51">
            <v>925.14625000000001</v>
          </cell>
          <cell r="U51">
            <v>1934.515625</v>
          </cell>
          <cell r="V51">
            <v>1934.515625</v>
          </cell>
          <cell r="W51">
            <v>1934.515625</v>
          </cell>
          <cell r="X51">
            <v>1934.515625</v>
          </cell>
          <cell r="Y51">
            <v>1934.515625</v>
          </cell>
          <cell r="Z51">
            <v>1934.515625</v>
          </cell>
          <cell r="AA51">
            <v>1934.515625</v>
          </cell>
          <cell r="AB51">
            <v>1934.515625</v>
          </cell>
          <cell r="AC51">
            <v>1934.515625</v>
          </cell>
          <cell r="AD51">
            <v>1934.515625</v>
          </cell>
          <cell r="AE51">
            <v>1934.515625</v>
          </cell>
          <cell r="AF51">
            <v>1934.515625</v>
          </cell>
          <cell r="AH51">
            <v>3095.2250000000004</v>
          </cell>
          <cell r="AI51">
            <v>3095.2250000000004</v>
          </cell>
          <cell r="AJ51">
            <v>3095.2250000000004</v>
          </cell>
          <cell r="AK51">
            <v>3095.2250000000004</v>
          </cell>
          <cell r="AL51">
            <v>3095.2250000000004</v>
          </cell>
          <cell r="AM51">
            <v>3095.2250000000004</v>
          </cell>
          <cell r="AN51">
            <v>3095.2250000000004</v>
          </cell>
          <cell r="AO51">
            <v>3095.2250000000004</v>
          </cell>
          <cell r="AP51">
            <v>3095.2250000000004</v>
          </cell>
          <cell r="AQ51">
            <v>3095.2250000000004</v>
          </cell>
          <cell r="AR51">
            <v>3095.2250000000004</v>
          </cell>
          <cell r="AS51">
            <v>3095.2250000000004</v>
          </cell>
          <cell r="AU51">
            <v>3869.03125</v>
          </cell>
          <cell r="AV51">
            <v>3869.03125</v>
          </cell>
          <cell r="AW51">
            <v>3869.03125</v>
          </cell>
          <cell r="AX51">
            <v>3869.03125</v>
          </cell>
          <cell r="AY51">
            <v>3869.03125</v>
          </cell>
          <cell r="AZ51">
            <v>3869.03125</v>
          </cell>
          <cell r="BA51">
            <v>3869.03125</v>
          </cell>
          <cell r="BB51">
            <v>3869.03125</v>
          </cell>
          <cell r="BC51">
            <v>3869.03125</v>
          </cell>
          <cell r="BD51">
            <v>3869.03125</v>
          </cell>
          <cell r="BE51">
            <v>3869.03125</v>
          </cell>
          <cell r="BF51">
            <v>3869.03125</v>
          </cell>
          <cell r="BH51">
            <v>4642.8374999999996</v>
          </cell>
          <cell r="BI51">
            <v>4642.8374999999996</v>
          </cell>
          <cell r="BJ51">
            <v>4642.8374999999996</v>
          </cell>
          <cell r="BK51">
            <v>4642.8374999999996</v>
          </cell>
          <cell r="BL51">
            <v>4642.8374999999996</v>
          </cell>
          <cell r="BM51">
            <v>4642.8374999999996</v>
          </cell>
          <cell r="BN51">
            <v>4642.8374999999996</v>
          </cell>
          <cell r="BO51">
            <v>4642.8374999999996</v>
          </cell>
          <cell r="BP51">
            <v>4642.8374999999996</v>
          </cell>
          <cell r="BQ51">
            <v>4642.8374999999996</v>
          </cell>
          <cell r="BR51">
            <v>4642.8374999999996</v>
          </cell>
          <cell r="BS51">
            <v>4642.8374999999996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O2">
            <v>26432.749999999996</v>
          </cell>
          <cell r="P2">
            <v>26432.749999999996</v>
          </cell>
          <cell r="Q2">
            <v>26432.749999999996</v>
          </cell>
          <cell r="R2">
            <v>26432.749999999996</v>
          </cell>
          <cell r="S2">
            <v>26432.749999999996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</row>
        <row r="10">
          <cell r="C10">
            <v>19000</v>
          </cell>
          <cell r="D10">
            <v>19000</v>
          </cell>
          <cell r="E10">
            <v>19000</v>
          </cell>
          <cell r="F10">
            <v>31378.766875000001</v>
          </cell>
          <cell r="G10">
            <v>31378.766875000001</v>
          </cell>
          <cell r="H10">
            <v>32132.146249999998</v>
          </cell>
          <cell r="I10">
            <v>32132.146249999998</v>
          </cell>
          <cell r="J10">
            <v>32132.146249999998</v>
          </cell>
          <cell r="K10">
            <v>32132.146249999998</v>
          </cell>
          <cell r="L10">
            <v>32432.146249999998</v>
          </cell>
          <cell r="M10">
            <v>32432.146249999998</v>
          </cell>
          <cell r="N10">
            <v>32432.146249999998</v>
          </cell>
          <cell r="O10">
            <v>32432.146249999998</v>
          </cell>
          <cell r="P10">
            <v>32432.146249999998</v>
          </cell>
          <cell r="Q10">
            <v>32432.146249999998</v>
          </cell>
          <cell r="R10">
            <v>32432.146249999998</v>
          </cell>
          <cell r="S10">
            <v>32432.146249999998</v>
          </cell>
          <cell r="U10">
            <v>36662.815625000003</v>
          </cell>
          <cell r="V10">
            <v>36662.815625000003</v>
          </cell>
          <cell r="W10">
            <v>36662.815625000003</v>
          </cell>
          <cell r="X10">
            <v>36662.815625000003</v>
          </cell>
          <cell r="Y10">
            <v>36662.815625000003</v>
          </cell>
          <cell r="Z10">
            <v>36662.815625000003</v>
          </cell>
          <cell r="AA10">
            <v>36662.815625000003</v>
          </cell>
          <cell r="AB10">
            <v>36662.815625000003</v>
          </cell>
          <cell r="AC10">
            <v>36662.815625000003</v>
          </cell>
          <cell r="AD10">
            <v>36662.815625000003</v>
          </cell>
          <cell r="AE10">
            <v>36662.815625000003</v>
          </cell>
          <cell r="AF10">
            <v>36662.815625000003</v>
          </cell>
          <cell r="AH10">
            <v>41392.85500000001</v>
          </cell>
          <cell r="AI10">
            <v>41392.85500000001</v>
          </cell>
          <cell r="AJ10">
            <v>41392.85500000001</v>
          </cell>
          <cell r="AK10">
            <v>41392.85500000001</v>
          </cell>
          <cell r="AL10">
            <v>41392.85500000001</v>
          </cell>
          <cell r="AM10">
            <v>41392.85500000001</v>
          </cell>
          <cell r="AN10">
            <v>41392.85500000001</v>
          </cell>
          <cell r="AO10">
            <v>41392.85500000001</v>
          </cell>
          <cell r="AP10">
            <v>41392.85500000001</v>
          </cell>
          <cell r="AQ10">
            <v>41392.85500000001</v>
          </cell>
          <cell r="AR10">
            <v>41392.85500000001</v>
          </cell>
          <cell r="AS10">
            <v>41392.85500000001</v>
          </cell>
          <cell r="AU10">
            <v>45852.424250000011</v>
          </cell>
          <cell r="AV10">
            <v>45852.424250000011</v>
          </cell>
          <cell r="AW10">
            <v>45852.424250000011</v>
          </cell>
          <cell r="AX10">
            <v>45852.424250000011</v>
          </cell>
          <cell r="AY10">
            <v>45852.424250000011</v>
          </cell>
          <cell r="AZ10">
            <v>45852.424250000011</v>
          </cell>
          <cell r="BA10">
            <v>45852.424250000011</v>
          </cell>
          <cell r="BB10">
            <v>45852.424250000011</v>
          </cell>
          <cell r="BC10">
            <v>45852.424250000011</v>
          </cell>
          <cell r="BD10">
            <v>45852.424250000011</v>
          </cell>
          <cell r="BE10">
            <v>45852.424250000011</v>
          </cell>
          <cell r="BF10">
            <v>45852.424250000011</v>
          </cell>
        </row>
        <row r="51">
          <cell r="F51">
            <v>171.76687500000003</v>
          </cell>
          <cell r="G51">
            <v>171.76687500000003</v>
          </cell>
          <cell r="H51">
            <v>925.14625000000001</v>
          </cell>
          <cell r="I51">
            <v>925.14625000000001</v>
          </cell>
          <cell r="J51">
            <v>925.14625000000001</v>
          </cell>
          <cell r="K51">
            <v>925.14625000000001</v>
          </cell>
          <cell r="L51">
            <v>925.14625000000001</v>
          </cell>
          <cell r="M51">
            <v>925.14625000000001</v>
          </cell>
          <cell r="N51">
            <v>925.14625000000001</v>
          </cell>
          <cell r="O51">
            <v>925.14625000000001</v>
          </cell>
          <cell r="P51">
            <v>925.14625000000001</v>
          </cell>
          <cell r="Q51">
            <v>925.14625000000001</v>
          </cell>
          <cell r="R51">
            <v>925.14625000000001</v>
          </cell>
          <cell r="S51">
            <v>925.14625000000001</v>
          </cell>
          <cell r="U51">
            <v>1934.515625</v>
          </cell>
          <cell r="V51">
            <v>1934.515625</v>
          </cell>
          <cell r="W51">
            <v>1934.515625</v>
          </cell>
          <cell r="X51">
            <v>1934.515625</v>
          </cell>
          <cell r="Y51">
            <v>1934.515625</v>
          </cell>
          <cell r="Z51">
            <v>1934.515625</v>
          </cell>
          <cell r="AA51">
            <v>1934.515625</v>
          </cell>
          <cell r="AB51">
            <v>1934.515625</v>
          </cell>
          <cell r="AC51">
            <v>1934.515625</v>
          </cell>
          <cell r="AD51">
            <v>1934.515625</v>
          </cell>
          <cell r="AE51">
            <v>1934.515625</v>
          </cell>
          <cell r="AF51">
            <v>1934.515625</v>
          </cell>
          <cell r="AH51">
            <v>3095.2250000000004</v>
          </cell>
          <cell r="AI51">
            <v>3095.2250000000004</v>
          </cell>
          <cell r="AJ51">
            <v>3095.2250000000004</v>
          </cell>
          <cell r="AK51">
            <v>3095.2250000000004</v>
          </cell>
          <cell r="AL51">
            <v>3095.2250000000004</v>
          </cell>
          <cell r="AM51">
            <v>3095.2250000000004</v>
          </cell>
          <cell r="AN51">
            <v>3095.2250000000004</v>
          </cell>
          <cell r="AO51">
            <v>3095.2250000000004</v>
          </cell>
          <cell r="AP51">
            <v>3095.2250000000004</v>
          </cell>
          <cell r="AQ51">
            <v>3095.2250000000004</v>
          </cell>
          <cell r="AR51">
            <v>3095.2250000000004</v>
          </cell>
          <cell r="AS51">
            <v>3095.2250000000004</v>
          </cell>
          <cell r="AU51">
            <v>3869.03125</v>
          </cell>
          <cell r="AV51">
            <v>3869.03125</v>
          </cell>
          <cell r="AW51">
            <v>3869.03125</v>
          </cell>
          <cell r="AX51">
            <v>3869.03125</v>
          </cell>
          <cell r="AY51">
            <v>3869.03125</v>
          </cell>
          <cell r="AZ51">
            <v>3869.03125</v>
          </cell>
          <cell r="BA51">
            <v>3869.03125</v>
          </cell>
          <cell r="BB51">
            <v>3869.03125</v>
          </cell>
          <cell r="BC51">
            <v>3869.03125</v>
          </cell>
          <cell r="BD51">
            <v>3869.03125</v>
          </cell>
          <cell r="BE51">
            <v>3869.03125</v>
          </cell>
          <cell r="BF51">
            <v>3869.03125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</row>
        <row r="10">
          <cell r="C10">
            <v>19000</v>
          </cell>
          <cell r="D10">
            <v>19000</v>
          </cell>
          <cell r="E10">
            <v>19000</v>
          </cell>
          <cell r="F10">
            <v>31378.766875000001</v>
          </cell>
          <cell r="G10">
            <v>31378.766875000001</v>
          </cell>
          <cell r="H10">
            <v>32132.146249999998</v>
          </cell>
          <cell r="I10">
            <v>32132.146249999998</v>
          </cell>
          <cell r="J10">
            <v>32132.146249999998</v>
          </cell>
          <cell r="K10">
            <v>32132.146249999998</v>
          </cell>
          <cell r="L10">
            <v>32432.146249999998</v>
          </cell>
          <cell r="M10">
            <v>32432.146249999998</v>
          </cell>
          <cell r="N10">
            <v>32432.146249999998</v>
          </cell>
          <cell r="U10">
            <v>36662.815625000003</v>
          </cell>
          <cell r="V10">
            <v>36662.815625000003</v>
          </cell>
          <cell r="W10">
            <v>36662.815625000003</v>
          </cell>
          <cell r="X10">
            <v>36662.815625000003</v>
          </cell>
          <cell r="Y10">
            <v>36662.815625000003</v>
          </cell>
          <cell r="Z10">
            <v>36662.815625000003</v>
          </cell>
          <cell r="AA10">
            <v>36662.815625000003</v>
          </cell>
          <cell r="AB10">
            <v>36662.815625000003</v>
          </cell>
          <cell r="AC10">
            <v>36662.815625000003</v>
          </cell>
          <cell r="AD10">
            <v>36662.815625000003</v>
          </cell>
          <cell r="AE10">
            <v>36662.815625000003</v>
          </cell>
          <cell r="AF10">
            <v>36662.815625000003</v>
          </cell>
          <cell r="AH10">
            <v>41392.85500000001</v>
          </cell>
          <cell r="AI10">
            <v>41392.85500000001</v>
          </cell>
          <cell r="AJ10">
            <v>41392.85500000001</v>
          </cell>
          <cell r="AK10">
            <v>41392.85500000001</v>
          </cell>
          <cell r="AL10">
            <v>41392.85500000001</v>
          </cell>
          <cell r="AM10">
            <v>41392.85500000001</v>
          </cell>
          <cell r="AN10">
            <v>41392.85500000001</v>
          </cell>
          <cell r="AO10">
            <v>41392.85500000001</v>
          </cell>
          <cell r="AP10">
            <v>41392.85500000001</v>
          </cell>
          <cell r="AQ10">
            <v>41392.85500000001</v>
          </cell>
          <cell r="AR10">
            <v>41392.85500000001</v>
          </cell>
          <cell r="AS10">
            <v>41392.85500000001</v>
          </cell>
          <cell r="AU10">
            <v>45852.424250000011</v>
          </cell>
          <cell r="AV10">
            <v>45852.424250000011</v>
          </cell>
          <cell r="AW10">
            <v>45852.424250000011</v>
          </cell>
          <cell r="AX10">
            <v>45852.424250000011</v>
          </cell>
          <cell r="AY10">
            <v>45852.424250000011</v>
          </cell>
          <cell r="AZ10">
            <v>45852.424250000011</v>
          </cell>
          <cell r="BA10">
            <v>45852.424250000011</v>
          </cell>
          <cell r="BB10">
            <v>45852.424250000011</v>
          </cell>
          <cell r="BC10">
            <v>45852.424250000011</v>
          </cell>
          <cell r="BD10">
            <v>45852.424250000011</v>
          </cell>
          <cell r="BE10">
            <v>45852.424250000011</v>
          </cell>
          <cell r="BF10">
            <v>45852.424250000011</v>
          </cell>
        </row>
        <row r="51">
          <cell r="F51">
            <v>171.76687500000003</v>
          </cell>
          <cell r="G51">
            <v>171.76687500000003</v>
          </cell>
          <cell r="H51">
            <v>925.14625000000001</v>
          </cell>
          <cell r="I51">
            <v>925.14625000000001</v>
          </cell>
          <cell r="J51">
            <v>925.14625000000001</v>
          </cell>
          <cell r="K51">
            <v>925.14625000000001</v>
          </cell>
          <cell r="L51">
            <v>925.14625000000001</v>
          </cell>
          <cell r="M51">
            <v>925.14625000000001</v>
          </cell>
          <cell r="N51">
            <v>925.14625000000001</v>
          </cell>
          <cell r="U51">
            <v>1934.515625</v>
          </cell>
          <cell r="V51">
            <v>1934.515625</v>
          </cell>
          <cell r="W51">
            <v>1934.515625</v>
          </cell>
          <cell r="X51">
            <v>1934.515625</v>
          </cell>
          <cell r="Y51">
            <v>1934.515625</v>
          </cell>
          <cell r="Z51">
            <v>1934.515625</v>
          </cell>
          <cell r="AA51">
            <v>1934.515625</v>
          </cell>
          <cell r="AB51">
            <v>1934.515625</v>
          </cell>
          <cell r="AC51">
            <v>1934.515625</v>
          </cell>
          <cell r="AD51">
            <v>1934.515625</v>
          </cell>
          <cell r="AE51">
            <v>1934.515625</v>
          </cell>
          <cell r="AF51">
            <v>1934.515625</v>
          </cell>
          <cell r="AH51">
            <v>3095.2250000000004</v>
          </cell>
          <cell r="AI51">
            <v>3095.2250000000004</v>
          </cell>
          <cell r="AJ51">
            <v>3095.2250000000004</v>
          </cell>
          <cell r="AK51">
            <v>3095.2250000000004</v>
          </cell>
          <cell r="AL51">
            <v>3095.2250000000004</v>
          </cell>
          <cell r="AM51">
            <v>3095.2250000000004</v>
          </cell>
          <cell r="AN51">
            <v>3095.2250000000004</v>
          </cell>
          <cell r="AO51">
            <v>3095.2250000000004</v>
          </cell>
          <cell r="AP51">
            <v>3095.2250000000004</v>
          </cell>
          <cell r="AQ51">
            <v>3095.2250000000004</v>
          </cell>
          <cell r="AR51">
            <v>3095.2250000000004</v>
          </cell>
          <cell r="AS51">
            <v>3095.2250000000004</v>
          </cell>
          <cell r="AU51">
            <v>3869.03125</v>
          </cell>
          <cell r="AV51">
            <v>3869.03125</v>
          </cell>
          <cell r="AW51">
            <v>3869.03125</v>
          </cell>
          <cell r="AX51">
            <v>3869.03125</v>
          </cell>
          <cell r="AY51">
            <v>3869.03125</v>
          </cell>
          <cell r="AZ51">
            <v>3869.03125</v>
          </cell>
          <cell r="BA51">
            <v>3869.03125</v>
          </cell>
          <cell r="BB51">
            <v>3869.03125</v>
          </cell>
          <cell r="BC51">
            <v>3869.03125</v>
          </cell>
          <cell r="BD51">
            <v>3869.03125</v>
          </cell>
          <cell r="BE51">
            <v>3869.03125</v>
          </cell>
          <cell r="BF51">
            <v>3869.03125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2" sqref="C2"/>
    </sheetView>
  </sheetViews>
  <sheetFormatPr defaultRowHeight="15" x14ac:dyDescent="0.25"/>
  <cols>
    <col min="3" max="3" width="14.71093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5" t="s">
        <v>3</v>
      </c>
      <c r="B2" s="5" t="s">
        <v>3</v>
      </c>
      <c r="C2" s="5">
        <v>2026</v>
      </c>
    </row>
    <row r="3" spans="1:3" x14ac:dyDescent="0.25">
      <c r="A3" s="5" t="s">
        <v>4</v>
      </c>
      <c r="B3" s="5" t="s">
        <v>5</v>
      </c>
      <c r="C3" s="5">
        <v>2028</v>
      </c>
    </row>
    <row r="4" spans="1:3" x14ac:dyDescent="0.25">
      <c r="A4" s="5" t="s">
        <v>6</v>
      </c>
      <c r="B4" s="5" t="s">
        <v>7</v>
      </c>
      <c r="C4" s="5">
        <v>2028</v>
      </c>
    </row>
    <row r="5" spans="1:3" x14ac:dyDescent="0.25">
      <c r="A5" s="5" t="s">
        <v>8</v>
      </c>
      <c r="B5" s="5" t="s">
        <v>5</v>
      </c>
      <c r="C5" s="5">
        <v>2029</v>
      </c>
    </row>
    <row r="6" spans="1:3" x14ac:dyDescent="0.25">
      <c r="A6" s="5" t="s">
        <v>9</v>
      </c>
      <c r="B6" s="5" t="s">
        <v>7</v>
      </c>
      <c r="C6" s="5">
        <v>2029</v>
      </c>
    </row>
    <row r="7" spans="1:3" x14ac:dyDescent="0.25">
      <c r="A7" s="5" t="s">
        <v>10</v>
      </c>
      <c r="B7" s="5" t="s">
        <v>5</v>
      </c>
      <c r="C7" s="5">
        <v>2030</v>
      </c>
    </row>
    <row r="8" spans="1:3" x14ac:dyDescent="0.25">
      <c r="A8" s="5" t="s">
        <v>11</v>
      </c>
      <c r="B8" s="5" t="s">
        <v>7</v>
      </c>
      <c r="C8" s="5">
        <v>2030</v>
      </c>
    </row>
    <row r="9" spans="1:3" x14ac:dyDescent="0.25">
      <c r="A9" s="5" t="s">
        <v>12</v>
      </c>
      <c r="B9" s="5" t="s">
        <v>5</v>
      </c>
      <c r="C9" s="5">
        <v>2031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2780-7C85-4262-837F-AB68A368902B}">
  <dimension ref="A1:K50"/>
  <sheetViews>
    <sheetView workbookViewId="0">
      <selection activeCell="K42" sqref="K42"/>
    </sheetView>
  </sheetViews>
  <sheetFormatPr defaultRowHeight="15" x14ac:dyDescent="0.25"/>
  <cols>
    <col min="3" max="3" width="13.28515625" bestFit="1" customWidth="1"/>
    <col min="4" max="4" width="11.5703125" bestFit="1" customWidth="1"/>
    <col min="5" max="5" width="15.28515625" bestFit="1" customWidth="1"/>
    <col min="6" max="6" width="21" bestFit="1" customWidth="1"/>
    <col min="7" max="7" width="17.42578125" bestFit="1" customWidth="1"/>
    <col min="8" max="8" width="12.42578125" bestFit="1" customWidth="1"/>
    <col min="9" max="9" width="15.140625" bestFit="1" customWidth="1"/>
    <col min="10" max="10" width="18.85546875" bestFit="1" customWidth="1"/>
    <col min="11" max="11" width="37.5703125" bestFit="1" customWidth="1"/>
  </cols>
  <sheetData>
    <row r="1" spans="1:11" x14ac:dyDescent="0.25">
      <c r="A1" s="4" t="s">
        <v>0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18</v>
      </c>
      <c r="G1" s="4" t="s">
        <v>17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 x14ac:dyDescent="0.25">
      <c r="A2" s="5" t="s">
        <v>3</v>
      </c>
      <c r="B2" s="5">
        <v>2026</v>
      </c>
      <c r="C2" s="6">
        <f>SUM([1]Orçamento!$F$2:$G$2)</f>
        <v>7361.4375</v>
      </c>
      <c r="D2" s="7">
        <f>SUM([1]Orçamento!$C$10:$G$10)-SUM([1]Orçamento!$C$51:$G$51)</f>
        <v>156494</v>
      </c>
      <c r="E2" s="8">
        <f>C2*'[1]Ocupação e unit economics 2.0'!$K$5</f>
        <v>699.33656250000001</v>
      </c>
      <c r="F2" s="8">
        <f>C2-D2-E2</f>
        <v>-149831.89906249999</v>
      </c>
      <c r="G2" s="5">
        <v>0</v>
      </c>
      <c r="H2" s="7">
        <f>F2-G2</f>
        <v>-149831.89906249999</v>
      </c>
      <c r="I2" s="7">
        <f>H2/C2</f>
        <v>-20.353619664977117</v>
      </c>
      <c r="J2" s="5">
        <v>0.03</v>
      </c>
      <c r="K2" s="9">
        <f>ROUNDUP(('[1]Ocupação e unit economics 2.0'!$B$33*0.03)/'[1]Ocupação e unit economics 2.0'!$B$85,1)</f>
        <v>8.9</v>
      </c>
    </row>
    <row r="3" spans="1:11" x14ac:dyDescent="0.25">
      <c r="A3" s="5" t="s">
        <v>3</v>
      </c>
      <c r="B3" s="5">
        <v>2027</v>
      </c>
      <c r="C3" s="6">
        <f>SUM([1]Orçamento!$H$2:$S$2)</f>
        <v>317192.99999999994</v>
      </c>
      <c r="D3" s="7">
        <f>SUM([1]Orçamento!$H$10:$S$10)-SUM([1]Orçamento!$H$51:$S$51)</f>
        <v>530484</v>
      </c>
      <c r="E3" s="8">
        <f>C3*'[1]Ocupação e unit economics 2.0'!$K$5</f>
        <v>30133.334999999995</v>
      </c>
      <c r="F3" s="8">
        <f t="shared" ref="F3:F50" si="0">C3-D3-E3</f>
        <v>-243424.33500000005</v>
      </c>
      <c r="G3" s="5">
        <v>0</v>
      </c>
      <c r="H3" s="7">
        <f t="shared" ref="H3:H50" si="1">F3-G3</f>
        <v>-243424.33500000005</v>
      </c>
      <c r="I3" s="7">
        <f t="shared" ref="I3:I50" si="2">H3/C3</f>
        <v>-0.76743287209995203</v>
      </c>
      <c r="J3" s="5">
        <v>0.12</v>
      </c>
      <c r="K3" s="5">
        <f>'[1]Ocupação e unit economics 2.0'!$B$102</f>
        <v>36</v>
      </c>
    </row>
    <row r="4" spans="1:11" x14ac:dyDescent="0.25">
      <c r="A4" s="5" t="s">
        <v>3</v>
      </c>
      <c r="B4" s="5">
        <v>2028</v>
      </c>
      <c r="C4" s="6">
        <f>SUM([1]Orçamento!$U$2:$AF$2)</f>
        <v>663262.49999999988</v>
      </c>
      <c r="D4" s="7">
        <f>SUM([1]Orçamento!$U$10:$AF$10)-SUM([1]Orçamento!$U$51:$AF$51)</f>
        <v>579699.6</v>
      </c>
      <c r="E4" s="8">
        <f>C4*'[1]Ocupação e unit economics 2.0'!$L$5</f>
        <v>131524.95374999999</v>
      </c>
      <c r="F4" s="8">
        <f t="shared" si="0"/>
        <v>-47962.053750000079</v>
      </c>
      <c r="G4" s="5">
        <v>0</v>
      </c>
      <c r="H4" s="7">
        <f t="shared" si="1"/>
        <v>-47962.053750000079</v>
      </c>
      <c r="I4" s="7">
        <f t="shared" si="2"/>
        <v>-7.2312325436761596E-2</v>
      </c>
      <c r="J4" s="5">
        <v>0.25</v>
      </c>
      <c r="K4" s="5">
        <f>'[1]Ocupação e unit economics 2.0'!$C$102</f>
        <v>74</v>
      </c>
    </row>
    <row r="5" spans="1:11" x14ac:dyDescent="0.25">
      <c r="A5" s="5" t="s">
        <v>3</v>
      </c>
      <c r="B5" s="5">
        <v>2029</v>
      </c>
      <c r="C5" s="6">
        <f>SUM([1]Orçamento!$AH$2:$AS$2)</f>
        <v>1061220</v>
      </c>
      <c r="D5" s="7">
        <f>SUM([1]Orçamento!$AH$10:$AS$10)-SUM([1]Orçamento!$AH$51:$AS$51)</f>
        <v>638827.55999999994</v>
      </c>
      <c r="E5" s="8">
        <f>C5*'[1]Ocupação e unit economics 2.0'!$L$5</f>
        <v>210439.92600000001</v>
      </c>
      <c r="F5" s="8">
        <f t="shared" si="0"/>
        <v>211952.51400000005</v>
      </c>
      <c r="G5" s="5">
        <v>0</v>
      </c>
      <c r="H5" s="7">
        <f t="shared" si="1"/>
        <v>211952.51400000005</v>
      </c>
      <c r="I5" s="7">
        <f t="shared" si="2"/>
        <v>0.19972532933793186</v>
      </c>
      <c r="J5" s="5">
        <v>0.4</v>
      </c>
      <c r="K5" s="5">
        <f>'[1]Ocupação e unit economics 2.0'!$D$102</f>
        <v>119</v>
      </c>
    </row>
    <row r="6" spans="1:11" x14ac:dyDescent="0.25">
      <c r="A6" s="5" t="s">
        <v>3</v>
      </c>
      <c r="B6" s="5">
        <v>2030</v>
      </c>
      <c r="C6" s="6">
        <f>SUM([1]Orçamento!$AU$2:$BF$2)</f>
        <v>1326524.9999999998</v>
      </c>
      <c r="D6" s="7">
        <f>SUM([1]Orçamento!$AU$10:$BF$10)-SUM([1]Orçamento!$AU$51:$BF$51)</f>
        <v>694382.31600000011</v>
      </c>
      <c r="E6" s="8">
        <f>C6*'[1]Ocupação e unit economics 2.0'!$L$5</f>
        <v>263049.90749999997</v>
      </c>
      <c r="F6" s="8">
        <f t="shared" si="0"/>
        <v>369092.77649999969</v>
      </c>
      <c r="G6" s="5">
        <v>0</v>
      </c>
      <c r="H6" s="7">
        <f t="shared" si="1"/>
        <v>369092.77649999969</v>
      </c>
      <c r="I6" s="7">
        <f t="shared" si="2"/>
        <v>0.27824034714762236</v>
      </c>
      <c r="J6" s="5">
        <v>0.5</v>
      </c>
      <c r="K6" s="5">
        <f>'[1]Ocupação e unit economics 2.0'!$E$102</f>
        <v>148</v>
      </c>
    </row>
    <row r="7" spans="1:11" x14ac:dyDescent="0.25">
      <c r="A7" s="5" t="s">
        <v>3</v>
      </c>
      <c r="B7" s="5">
        <v>2031</v>
      </c>
      <c r="C7" s="6">
        <f>SUM([1]Orçamento!$BH$2:$BS$2)</f>
        <v>1591829.9999999998</v>
      </c>
      <c r="D7" s="7">
        <f>SUM([1]Orçamento!$BH$10:$BS$10)-SUM([1]Orçamento!$BH$51:$BS$51)</f>
        <v>768005.95080000011</v>
      </c>
      <c r="E7" s="8">
        <f>C7*'[1]Ocupação e unit economics 2.0'!$L$5</f>
        <v>315659.88899999997</v>
      </c>
      <c r="F7" s="8">
        <f t="shared" si="0"/>
        <v>508164.16019999969</v>
      </c>
      <c r="G7" s="5">
        <v>0</v>
      </c>
      <c r="H7" s="7">
        <f t="shared" si="1"/>
        <v>508164.16019999969</v>
      </c>
      <c r="I7" s="7">
        <f t="shared" si="2"/>
        <v>0.31923268200750066</v>
      </c>
      <c r="J7" s="5">
        <v>0.6</v>
      </c>
      <c r="K7" s="5">
        <f>'[1]Ocupação e unit economics 2.0'!$F$102</f>
        <v>178</v>
      </c>
    </row>
    <row r="8" spans="1:11" x14ac:dyDescent="0.25">
      <c r="A8" s="5" t="s">
        <v>3</v>
      </c>
      <c r="B8" s="5">
        <v>2032</v>
      </c>
      <c r="C8" s="6">
        <f>SUM([1]Orçamento!$BU$2:$CF$2)</f>
        <v>1857134.9999999998</v>
      </c>
      <c r="D8" s="7">
        <f>SUM([1]Orçamento!$BU$10:$CF$10)-SUM([1]Orçamento!$BU$51:$CF$51)</f>
        <v>827337.40236000041</v>
      </c>
      <c r="E8" s="8">
        <f>C8*'[1]Ocupação e unit economics 2.0'!$L$5</f>
        <v>368269.87049999996</v>
      </c>
      <c r="F8" s="8">
        <f t="shared" si="0"/>
        <v>661527.72713999939</v>
      </c>
      <c r="G8" s="5">
        <v>0</v>
      </c>
      <c r="H8" s="7">
        <f t="shared" si="1"/>
        <v>661527.72713999939</v>
      </c>
      <c r="I8" s="7">
        <f t="shared" si="2"/>
        <v>0.35620874472776587</v>
      </c>
      <c r="J8" s="5">
        <v>0.7</v>
      </c>
      <c r="K8" s="5">
        <f>'[1]Ocupação e unit economics 2.0'!$G$102</f>
        <v>208</v>
      </c>
    </row>
    <row r="9" spans="1:11" x14ac:dyDescent="0.25">
      <c r="A9" s="5" t="s">
        <v>3</v>
      </c>
      <c r="B9" s="5">
        <v>2033</v>
      </c>
      <c r="C9" s="7">
        <f>SUM([1]Orçamento!$CH$2:$CS$2)</f>
        <v>1857134.9999999998</v>
      </c>
      <c r="D9" s="8">
        <f>SUM([1]Orçamento!$CH$10:$CS$10)-SUM([1]Orçamento!$CH$51:$CS$51)</f>
        <v>892908.08259600052</v>
      </c>
      <c r="E9" s="8">
        <f>C9*'[1]Ocupação e unit economics 2.0'!$L$5</f>
        <v>368269.87049999996</v>
      </c>
      <c r="F9" s="8">
        <f t="shared" si="0"/>
        <v>595957.04690399929</v>
      </c>
      <c r="G9" s="5">
        <v>0</v>
      </c>
      <c r="H9" s="7">
        <f t="shared" si="1"/>
        <v>595957.04690399929</v>
      </c>
      <c r="I9" s="7">
        <f t="shared" si="2"/>
        <v>0.32090130599229422</v>
      </c>
      <c r="J9" s="5">
        <v>0.7</v>
      </c>
      <c r="K9" s="5">
        <f>'[1]Ocupação e unit economics 2.0'!$G$102</f>
        <v>208</v>
      </c>
    </row>
    <row r="10" spans="1:11" x14ac:dyDescent="0.25">
      <c r="A10" s="5" t="s">
        <v>3</v>
      </c>
      <c r="B10" s="5">
        <v>2034</v>
      </c>
      <c r="C10" s="7">
        <f>SUM([1]Orçamento!$CU$2:$DF$2)</f>
        <v>1989787.4999999998</v>
      </c>
      <c r="D10" s="7">
        <f>SUM([1]Orçamento!$CU$10:$DF$10)-SUM([1]Orçamento!$CU$51:$DF$51)</f>
        <v>966535.83085560042</v>
      </c>
      <c r="E10" s="8">
        <f>C10*'[1]Ocupação e unit economics 2.0'!$L$5</f>
        <v>394574.86124999996</v>
      </c>
      <c r="F10" s="8">
        <f t="shared" si="0"/>
        <v>628676.80789439939</v>
      </c>
      <c r="G10" s="5">
        <v>0</v>
      </c>
      <c r="H10" s="7">
        <f t="shared" si="1"/>
        <v>628676.80789439939</v>
      </c>
      <c r="I10" s="7">
        <f t="shared" si="2"/>
        <v>0.31595173248118175</v>
      </c>
      <c r="J10" s="5">
        <v>0.75</v>
      </c>
      <c r="K10" s="5">
        <f>'[1]Ocupação e unit economics 2.0'!$H$102</f>
        <v>222</v>
      </c>
    </row>
    <row r="11" spans="1:11" x14ac:dyDescent="0.25">
      <c r="A11" s="5" t="s">
        <v>4</v>
      </c>
      <c r="B11" s="5">
        <v>2028</v>
      </c>
      <c r="C11" s="8">
        <f>SUM([2]Orçamento!$C$2:$N$2)</f>
        <v>166859.25</v>
      </c>
      <c r="D11" s="7">
        <f>SUM([2]Orçamento!$C$10:$N$10)-SUM([2]Orçamento!$F$51:$N$51)</f>
        <v>338763.00000000006</v>
      </c>
      <c r="E11" s="7">
        <f>C11*'[1]Ocupação e unit economics 2.0'!$L$5</f>
        <v>33088.189275000004</v>
      </c>
      <c r="F11" s="8">
        <f t="shared" si="0"/>
        <v>-204991.93927500007</v>
      </c>
      <c r="G11" s="8">
        <f>('[3]Capex Total '!$C$2)*12</f>
        <v>184414.44</v>
      </c>
      <c r="H11" s="7">
        <f t="shared" si="1"/>
        <v>-389406.37927500007</v>
      </c>
      <c r="I11" s="7">
        <f t="shared" si="2"/>
        <v>-2.3337416371882296</v>
      </c>
      <c r="J11" s="5">
        <v>0.12</v>
      </c>
      <c r="K11" s="5">
        <f>'[1]Ocupação e unit economics 2.0'!$B$102</f>
        <v>36</v>
      </c>
    </row>
    <row r="12" spans="1:11" x14ac:dyDescent="0.25">
      <c r="A12" s="5" t="s">
        <v>4</v>
      </c>
      <c r="B12" s="5">
        <v>2029</v>
      </c>
      <c r="C12" s="6">
        <f>SUM([2]Orçamento!$U$2:$AF$2)</f>
        <v>660818.75</v>
      </c>
      <c r="D12" s="7">
        <f>SUM([2]Orçamento!$U$10:$AF$10)-SUM([2]Orçamento!$U$51:$AF$51)</f>
        <v>416739.59999999986</v>
      </c>
      <c r="E12" s="8">
        <f>C12*'[1]Ocupação e unit economics 2.0'!$L$5</f>
        <v>131040.358125</v>
      </c>
      <c r="F12" s="8">
        <f t="shared" si="0"/>
        <v>113038.79187500014</v>
      </c>
      <c r="G12" s="7">
        <f t="shared" ref="G12:G17" si="3">G11</f>
        <v>184414.44</v>
      </c>
      <c r="H12" s="7">
        <f t="shared" si="1"/>
        <v>-71375.648124999861</v>
      </c>
      <c r="I12" s="7">
        <f t="shared" si="2"/>
        <v>-0.10801093056908549</v>
      </c>
      <c r="J12" s="5">
        <v>0.25</v>
      </c>
      <c r="K12" s="5">
        <f>'[1]Ocupação e unit economics 2.0'!$C$102</f>
        <v>74</v>
      </c>
    </row>
    <row r="13" spans="1:11" x14ac:dyDescent="0.25">
      <c r="A13" s="5" t="s">
        <v>4</v>
      </c>
      <c r="B13" s="5">
        <v>2030</v>
      </c>
      <c r="C13" s="6">
        <f>SUM([2]Orçamento!$AH$2:$AS$2)</f>
        <v>1061220</v>
      </c>
      <c r="D13" s="7">
        <f>SUM([2]Orçamento!$AH$10:$AS$10)-SUM([2]Orçamento!$AH$51:$AS$51)</f>
        <v>459571.56</v>
      </c>
      <c r="E13" s="8">
        <f>C13*'[1]Ocupação e unit economics 2.0'!$L$5</f>
        <v>210439.92600000001</v>
      </c>
      <c r="F13" s="8">
        <f t="shared" si="0"/>
        <v>391208.51399999997</v>
      </c>
      <c r="G13" s="7">
        <f t="shared" si="3"/>
        <v>184414.44</v>
      </c>
      <c r="H13" s="7">
        <f t="shared" si="1"/>
        <v>206794.07399999996</v>
      </c>
      <c r="I13" s="7">
        <f t="shared" si="2"/>
        <v>0.19486447108045454</v>
      </c>
      <c r="J13" s="5">
        <v>0.4</v>
      </c>
      <c r="K13" s="5">
        <f>'[1]Ocupação e unit economics 2.0'!$D$102</f>
        <v>119</v>
      </c>
    </row>
    <row r="14" spans="1:11" x14ac:dyDescent="0.25">
      <c r="A14" s="5" t="s">
        <v>4</v>
      </c>
      <c r="B14" s="5">
        <v>2031</v>
      </c>
      <c r="C14" s="6">
        <f>SUM([2]Orçamento!$AU$2:$BF$2)</f>
        <v>1326524.9999999998</v>
      </c>
      <c r="D14" s="7">
        <f>SUM([2]Orçamento!$AU$10:$BF$10)-SUM([2]Orçamento!$AU$51:$BF$51)</f>
        <v>503800.71600000025</v>
      </c>
      <c r="E14" s="8">
        <f>C14*'[1]Ocupação e unit economics 2.0'!$L$5</f>
        <v>263049.90749999997</v>
      </c>
      <c r="F14" s="8">
        <f t="shared" si="0"/>
        <v>559674.37649999955</v>
      </c>
      <c r="G14" s="7">
        <f t="shared" si="3"/>
        <v>184414.44</v>
      </c>
      <c r="H14" s="7">
        <f t="shared" si="1"/>
        <v>375259.93649999955</v>
      </c>
      <c r="I14" s="7">
        <f t="shared" si="2"/>
        <v>0.28288945666308557</v>
      </c>
      <c r="J14" s="5">
        <v>0.5</v>
      </c>
      <c r="K14" s="5">
        <f>'[1]Ocupação e unit economics 2.0'!$E$102</f>
        <v>148</v>
      </c>
    </row>
    <row r="15" spans="1:11" x14ac:dyDescent="0.25">
      <c r="A15" s="5" t="s">
        <v>4</v>
      </c>
      <c r="B15" s="5">
        <v>2032</v>
      </c>
      <c r="C15" s="6">
        <f>SUM([2]Orçamento!$BH$2:$BS$2)</f>
        <v>1591829.9999999998</v>
      </c>
      <c r="D15" s="7">
        <f>SUM([2]Orçamento!$BH$10:$BS$10)-SUM([2]Orçamento!$BH$51:$BS$51)</f>
        <v>552008.78760000004</v>
      </c>
      <c r="E15" s="8">
        <f>C15*'[1]Ocupação e unit economics 2.0'!$L$5</f>
        <v>315659.88899999997</v>
      </c>
      <c r="F15" s="8">
        <f t="shared" si="0"/>
        <v>724161.32339999976</v>
      </c>
      <c r="G15" s="7">
        <f t="shared" si="3"/>
        <v>184414.44</v>
      </c>
      <c r="H15" s="7">
        <f t="shared" si="1"/>
        <v>539746.8833999997</v>
      </c>
      <c r="I15" s="7">
        <f t="shared" si="2"/>
        <v>0.33907319462505403</v>
      </c>
      <c r="J15" s="5">
        <v>0.6</v>
      </c>
      <c r="K15" s="5">
        <f>'[1]Ocupação e unit economics 2.0'!$F$102</f>
        <v>178</v>
      </c>
    </row>
    <row r="16" spans="1:11" x14ac:dyDescent="0.25">
      <c r="A16" s="5" t="s">
        <v>4</v>
      </c>
      <c r="B16" s="5">
        <v>2033</v>
      </c>
      <c r="C16" s="6">
        <f>SUM([2]Orçamento!$BU$2:$CF$2)</f>
        <v>1857134.9999999998</v>
      </c>
      <c r="D16" s="7">
        <f>SUM([2]Orçamento!$BU$10:$CF$10)-SUM([2]Orçamento!$BU$51:$CF$51)</f>
        <v>604593.66636000026</v>
      </c>
      <c r="E16" s="8">
        <f>C16*'[1]Ocupação e unit economics 2.0'!$L$5</f>
        <v>368269.87049999996</v>
      </c>
      <c r="F16" s="8">
        <f t="shared" si="0"/>
        <v>884271.46313999943</v>
      </c>
      <c r="G16" s="7">
        <f t="shared" si="3"/>
        <v>184414.44</v>
      </c>
      <c r="H16" s="7">
        <f t="shared" si="1"/>
        <v>699857.02313999948</v>
      </c>
      <c r="I16" s="7">
        <f t="shared" si="2"/>
        <v>0.37684768373866173</v>
      </c>
      <c r="J16" s="5">
        <v>0.7</v>
      </c>
      <c r="K16" s="5">
        <f>'[1]Ocupação e unit economics 2.0'!$G$102</f>
        <v>208</v>
      </c>
    </row>
    <row r="17" spans="1:11" x14ac:dyDescent="0.25">
      <c r="A17" s="5" t="s">
        <v>4</v>
      </c>
      <c r="B17" s="5">
        <v>2034</v>
      </c>
      <c r="C17" s="7">
        <f>SUM([2]Orçamento!$CH$2:$CS$2)</f>
        <v>1989787.4999999998</v>
      </c>
      <c r="D17" s="7">
        <f>SUM([2]Orçamento!$CH$10:$CS$10)-SUM([2]Orçamento!$CH$51:$CS$51)</f>
        <v>659773.03299600026</v>
      </c>
      <c r="E17" s="8">
        <f>C17*'[1]Ocupação e unit economics 2.0'!$L$5</f>
        <v>394574.86124999996</v>
      </c>
      <c r="F17" s="8">
        <f t="shared" si="0"/>
        <v>935439.60575399955</v>
      </c>
      <c r="G17" s="7">
        <f t="shared" si="3"/>
        <v>184414.44</v>
      </c>
      <c r="H17" s="7">
        <f t="shared" si="1"/>
        <v>751025.16575399949</v>
      </c>
      <c r="I17" s="7">
        <f t="shared" si="2"/>
        <v>0.37743988529126832</v>
      </c>
      <c r="J17" s="5">
        <v>0.75</v>
      </c>
      <c r="K17" s="5">
        <f>'[1]Ocupação e unit economics 2.0'!$H$102</f>
        <v>222</v>
      </c>
    </row>
    <row r="18" spans="1:11" x14ac:dyDescent="0.25">
      <c r="A18" s="5" t="s">
        <v>6</v>
      </c>
      <c r="B18" s="5">
        <v>2028</v>
      </c>
      <c r="C18" s="8">
        <f>SUM([4]Orçamento!$C$2:$G$2)</f>
        <v>7361.4375</v>
      </c>
      <c r="D18" s="7">
        <f>SUM([4]Orçamento!$C$10:$G$10)-SUM([4]Orçamento!$D$51:$G$51)</f>
        <v>119414</v>
      </c>
      <c r="E18" s="7">
        <f>C18*'[1]Ocupação e unit economics 2.0'!$L$5</f>
        <v>1459.7730562500001</v>
      </c>
      <c r="F18" s="8">
        <f t="shared" si="0"/>
        <v>-113512.33555625001</v>
      </c>
      <c r="G18" s="7">
        <f>5*'[3]Capex Total '!$C$3</f>
        <v>74267.399999999994</v>
      </c>
      <c r="H18" s="7">
        <f t="shared" si="1"/>
        <v>-187779.73555625</v>
      </c>
      <c r="I18" s="7">
        <f t="shared" si="2"/>
        <v>-25.508568884304186</v>
      </c>
      <c r="J18" s="5">
        <v>0.03</v>
      </c>
      <c r="K18" s="9">
        <f>ROUNDUP(('[1]Ocupação e unit economics 2.0'!$B$33*0.03)/'[1]Ocupação e unit economics 2.0'!$B$85,1)</f>
        <v>8.9</v>
      </c>
    </row>
    <row r="19" spans="1:11" x14ac:dyDescent="0.25">
      <c r="A19" s="5" t="s">
        <v>6</v>
      </c>
      <c r="B19" s="5">
        <v>2029</v>
      </c>
      <c r="C19" s="6">
        <f>SUM([4]Orçamento!$H$2:$S$2)</f>
        <v>317192.99999999994</v>
      </c>
      <c r="D19" s="7">
        <f>SUM([4]Orçamento!$H$10:$S$10)-SUM([4]Orçamento!$H$51:$S$51)</f>
        <v>376883.99999999994</v>
      </c>
      <c r="E19" s="8">
        <f>C19*'[1]Ocupação e unit economics 2.0'!$L$5</f>
        <v>62899.371899999991</v>
      </c>
      <c r="F19" s="8">
        <f t="shared" si="0"/>
        <v>-122590.3719</v>
      </c>
      <c r="G19" s="7">
        <f>12*'[3]Capex Total '!$C$3</f>
        <v>178241.76</v>
      </c>
      <c r="H19" s="7">
        <f t="shared" si="1"/>
        <v>-300832.13190000004</v>
      </c>
      <c r="I19" s="7">
        <f t="shared" si="2"/>
        <v>-0.94841983240487682</v>
      </c>
      <c r="J19" s="5">
        <v>0.12</v>
      </c>
      <c r="K19" s="5">
        <f>'[1]Ocupação e unit economics 2.0'!$B$102</f>
        <v>36</v>
      </c>
    </row>
    <row r="20" spans="1:11" x14ac:dyDescent="0.25">
      <c r="A20" s="5" t="s">
        <v>6</v>
      </c>
      <c r="B20" s="5">
        <v>2030</v>
      </c>
      <c r="C20" s="6">
        <f>SUM([4]Orçamento!$U$2:$AF$2)</f>
        <v>663262.49999999988</v>
      </c>
      <c r="D20" s="7">
        <f>SUM([4]Orçamento!$U$10:$AF$10)-SUM([4]Orçamento!$U$51:$AF$51)</f>
        <v>416739.59999999992</v>
      </c>
      <c r="E20" s="8">
        <f>C20*'[1]Ocupação e unit economics 2.0'!$L$5</f>
        <v>131524.95374999999</v>
      </c>
      <c r="F20" s="8">
        <f t="shared" si="0"/>
        <v>114997.94624999998</v>
      </c>
      <c r="G20" s="7">
        <f>G19</f>
        <v>178241.76</v>
      </c>
      <c r="H20" s="7">
        <f t="shared" si="1"/>
        <v>-63243.81375000003</v>
      </c>
      <c r="I20" s="7">
        <f t="shared" si="2"/>
        <v>-9.5352614914909317E-2</v>
      </c>
      <c r="J20" s="5">
        <v>0.25</v>
      </c>
      <c r="K20" s="5">
        <f>'[1]Ocupação e unit economics 2.0'!$C$102</f>
        <v>74</v>
      </c>
    </row>
    <row r="21" spans="1:11" x14ac:dyDescent="0.25">
      <c r="A21" s="5" t="s">
        <v>6</v>
      </c>
      <c r="B21" s="5">
        <v>2031</v>
      </c>
      <c r="C21" s="6">
        <f>SUM([4]Orçamento!$AH$2:$AS$2)</f>
        <v>1061220</v>
      </c>
      <c r="D21" s="7">
        <f>SUM([4]Orçamento!$AH$10:$AS$10)-SUM([4]Orçamento!$AH$51:$AS$51)</f>
        <v>459571.56</v>
      </c>
      <c r="E21" s="8">
        <f>C21*'[1]Ocupação e unit economics 2.0'!$L$5</f>
        <v>210439.92600000001</v>
      </c>
      <c r="F21" s="8">
        <f t="shared" si="0"/>
        <v>391208.51399999997</v>
      </c>
      <c r="G21" s="7">
        <f>G20</f>
        <v>178241.76</v>
      </c>
      <c r="H21" s="7">
        <f t="shared" si="1"/>
        <v>212966.75399999996</v>
      </c>
      <c r="I21" s="7">
        <f t="shared" si="2"/>
        <v>0.20068105953525184</v>
      </c>
      <c r="J21" s="5">
        <v>0.4</v>
      </c>
      <c r="K21" s="5">
        <f>'[1]Ocupação e unit economics 2.0'!$D$102</f>
        <v>119</v>
      </c>
    </row>
    <row r="22" spans="1:11" x14ac:dyDescent="0.25">
      <c r="A22" s="5" t="s">
        <v>6</v>
      </c>
      <c r="B22" s="5">
        <v>2032</v>
      </c>
      <c r="C22" s="6">
        <f>SUM([4]Orçamento!$AU$2:$BF$2)</f>
        <v>1326524.9999999998</v>
      </c>
      <c r="D22" s="7">
        <f>SUM([4]Orçamento!$AU$10:$BF$10)-SUM([4]Orçamento!$AU$51:$BF$51)</f>
        <v>503800.71600000025</v>
      </c>
      <c r="E22" s="8">
        <f>C22*'[1]Ocupação e unit economics 2.0'!$L$5</f>
        <v>263049.90749999997</v>
      </c>
      <c r="F22" s="8">
        <f t="shared" si="0"/>
        <v>559674.37649999955</v>
      </c>
      <c r="G22" s="7">
        <f>G21</f>
        <v>178241.76</v>
      </c>
      <c r="H22" s="7">
        <f t="shared" si="1"/>
        <v>381432.61649999954</v>
      </c>
      <c r="I22" s="7">
        <f t="shared" si="2"/>
        <v>0.28754272742692344</v>
      </c>
      <c r="J22" s="5">
        <v>0.5</v>
      </c>
      <c r="K22" s="5">
        <f>'[1]Ocupação e unit economics 2.0'!$E$102</f>
        <v>148</v>
      </c>
    </row>
    <row r="23" spans="1:11" x14ac:dyDescent="0.25">
      <c r="A23" s="5" t="s">
        <v>6</v>
      </c>
      <c r="B23" s="5">
        <v>2033</v>
      </c>
      <c r="C23" s="6">
        <f>SUM([4]Orçamento!$BH$2:$BS$2)</f>
        <v>1591829.9999999998</v>
      </c>
      <c r="D23" s="7">
        <f>SUM([4]Orçamento!$BH$10:$BS$10)-SUM([4]Orçamento!$BH$51:$BS$51)</f>
        <v>552008.78760000004</v>
      </c>
      <c r="E23" s="8">
        <f>C23*'[1]Ocupação e unit economics 2.0'!$L$5</f>
        <v>315659.88899999997</v>
      </c>
      <c r="F23" s="8">
        <f t="shared" si="0"/>
        <v>724161.32339999976</v>
      </c>
      <c r="G23" s="7">
        <f>G22</f>
        <v>178241.76</v>
      </c>
      <c r="H23" s="7">
        <f t="shared" si="1"/>
        <v>545919.56339999975</v>
      </c>
      <c r="I23" s="7">
        <f t="shared" si="2"/>
        <v>0.34295092026158563</v>
      </c>
      <c r="J23" s="5">
        <v>0.6</v>
      </c>
      <c r="K23" s="5">
        <f>'[1]Ocupação e unit economics 2.0'!$F$102</f>
        <v>178</v>
      </c>
    </row>
    <row r="24" spans="1:11" x14ac:dyDescent="0.25">
      <c r="A24" s="5" t="s">
        <v>6</v>
      </c>
      <c r="B24" s="5">
        <v>2034</v>
      </c>
      <c r="C24" s="6">
        <f>SUM([4]Orçamento!$BU$2:$CF$2)</f>
        <v>1857134.9999999998</v>
      </c>
      <c r="D24" s="7">
        <f>SUM([4]Orçamento!$BU$10:$CF$10)-SUM([4]Orçamento!$BU$51:$CF$51)</f>
        <v>604593.66636000026</v>
      </c>
      <c r="E24" s="8">
        <f>C24*'[1]Ocupação e unit economics 2.0'!$L$5</f>
        <v>368269.87049999996</v>
      </c>
      <c r="F24" s="8">
        <f t="shared" si="0"/>
        <v>884271.46313999943</v>
      </c>
      <c r="G24" s="7">
        <f>G23</f>
        <v>178241.76</v>
      </c>
      <c r="H24" s="7">
        <f t="shared" si="1"/>
        <v>706029.70313999942</v>
      </c>
      <c r="I24" s="7">
        <f t="shared" si="2"/>
        <v>0.38017144856997448</v>
      </c>
      <c r="J24" s="5">
        <v>0.7</v>
      </c>
      <c r="K24" s="5">
        <f>'[1]Ocupação e unit economics 2.0'!$G$102</f>
        <v>208</v>
      </c>
    </row>
    <row r="25" spans="1:11" x14ac:dyDescent="0.25">
      <c r="A25" s="5" t="s">
        <v>8</v>
      </c>
      <c r="B25" s="5">
        <v>2029</v>
      </c>
      <c r="C25" s="8">
        <f>SUM([5]Orçamento!$C$2:$N$2)</f>
        <v>192390.6875</v>
      </c>
      <c r="D25" s="7">
        <f>SUM([5]Orçamento!$C$10:$N$10)-SUM([5]Orçamento!$D$51:$N$51)</f>
        <v>338762.99999999994</v>
      </c>
      <c r="E25" s="7">
        <f>C25*'[1]Ocupação e unit economics 2.0'!$L$5</f>
        <v>38151.073331250002</v>
      </c>
      <c r="F25" s="8">
        <f>C25-D25-E25</f>
        <v>-184523.38583124994</v>
      </c>
      <c r="G25" s="7">
        <f>12*'[3]Capex Total '!$C$4</f>
        <v>178241.76</v>
      </c>
      <c r="H25" s="7">
        <f t="shared" si="1"/>
        <v>-362765.14583124995</v>
      </c>
      <c r="I25" s="7">
        <f t="shared" si="2"/>
        <v>-1.8855649956095195</v>
      </c>
      <c r="J25" s="5">
        <v>0.12</v>
      </c>
      <c r="K25" s="5">
        <f>'[1]Ocupação e unit economics 2.0'!$B$102</f>
        <v>36</v>
      </c>
    </row>
    <row r="26" spans="1:11" x14ac:dyDescent="0.25">
      <c r="A26" s="5" t="s">
        <v>8</v>
      </c>
      <c r="B26" s="5">
        <v>2030</v>
      </c>
      <c r="C26" s="6">
        <f>SUM([5]Orçamento!$U$2:$AF$2)</f>
        <v>663262.49999999988</v>
      </c>
      <c r="D26" s="7">
        <f>SUM([5]Orçamento!$U$10:$AF$10)-SUM([5]Orçamento!$U$51:$AF$51)</f>
        <v>416739.59999999992</v>
      </c>
      <c r="E26" s="8">
        <f>C26*'[1]Ocupação e unit economics 2.0'!$L$5</f>
        <v>131524.95374999999</v>
      </c>
      <c r="F26" s="8">
        <f t="shared" si="0"/>
        <v>114997.94624999998</v>
      </c>
      <c r="G26" s="7">
        <f>G25</f>
        <v>178241.76</v>
      </c>
      <c r="H26" s="7">
        <f t="shared" si="1"/>
        <v>-63243.81375000003</v>
      </c>
      <c r="I26" s="7">
        <f t="shared" si="2"/>
        <v>-9.5352614914909317E-2</v>
      </c>
      <c r="J26" s="5">
        <v>0.25</v>
      </c>
      <c r="K26" s="5">
        <f>'[1]Ocupação e unit economics 2.0'!$C$102</f>
        <v>74</v>
      </c>
    </row>
    <row r="27" spans="1:11" x14ac:dyDescent="0.25">
      <c r="A27" s="5" t="s">
        <v>8</v>
      </c>
      <c r="B27" s="5">
        <v>2031</v>
      </c>
      <c r="C27" s="6">
        <f>SUM([5]Orçamento!$AH$2:$AS$2)</f>
        <v>1061220</v>
      </c>
      <c r="D27" s="7">
        <f>SUM([5]Orçamento!$AH$10:$AS$10)-SUM([5]Orçamento!$AH$51:$AS$51)</f>
        <v>459571.56</v>
      </c>
      <c r="E27" s="8">
        <f>C27*'[1]Ocupação e unit economics 2.0'!$L$5</f>
        <v>210439.92600000001</v>
      </c>
      <c r="F27" s="8">
        <f t="shared" si="0"/>
        <v>391208.51399999997</v>
      </c>
      <c r="G27" s="7">
        <f>G26</f>
        <v>178241.76</v>
      </c>
      <c r="H27" s="7">
        <f t="shared" si="1"/>
        <v>212966.75399999996</v>
      </c>
      <c r="I27" s="7">
        <f t="shared" si="2"/>
        <v>0.20068105953525184</v>
      </c>
      <c r="J27" s="5">
        <v>0.4</v>
      </c>
      <c r="K27" s="5">
        <f>'[1]Ocupação e unit economics 2.0'!$D$102</f>
        <v>119</v>
      </c>
    </row>
    <row r="28" spans="1:11" x14ac:dyDescent="0.25">
      <c r="A28" s="5" t="s">
        <v>8</v>
      </c>
      <c r="B28" s="5">
        <v>2032</v>
      </c>
      <c r="C28" s="6">
        <f>SUM([5]Orçamento!$AU$2:$BF$2)</f>
        <v>1326524.9999999998</v>
      </c>
      <c r="D28" s="7">
        <f>SUM([5]Orçamento!$AU$10:$BF$10)-SUM([5]Orçamento!$AU$51:$BF$51)</f>
        <v>503800.71600000025</v>
      </c>
      <c r="E28" s="8">
        <f>C28*'[1]Ocupação e unit economics 2.0'!$L$5</f>
        <v>263049.90749999997</v>
      </c>
      <c r="F28" s="8">
        <f t="shared" si="0"/>
        <v>559674.37649999955</v>
      </c>
      <c r="G28" s="7">
        <f>G27</f>
        <v>178241.76</v>
      </c>
      <c r="H28" s="7">
        <f t="shared" si="1"/>
        <v>381432.61649999954</v>
      </c>
      <c r="I28" s="7">
        <f t="shared" si="2"/>
        <v>0.28754272742692344</v>
      </c>
      <c r="J28" s="5">
        <v>0.5</v>
      </c>
      <c r="K28" s="5">
        <f>'[1]Ocupação e unit economics 2.0'!$E$102</f>
        <v>148</v>
      </c>
    </row>
    <row r="29" spans="1:11" x14ac:dyDescent="0.25">
      <c r="A29" s="5" t="s">
        <v>8</v>
      </c>
      <c r="B29" s="5">
        <v>2033</v>
      </c>
      <c r="C29" s="6">
        <f>SUM([5]Orçamento!$BH$2:$BS$2)</f>
        <v>1591829.9999999998</v>
      </c>
      <c r="D29" s="7">
        <f>SUM([5]Orçamento!$BH$10:$BS$10)-SUM([5]Orçamento!$BH$51:$BS$51)</f>
        <v>552008.78760000004</v>
      </c>
      <c r="E29" s="8">
        <f>C29*'[1]Ocupação e unit economics 2.0'!$L$5</f>
        <v>315659.88899999997</v>
      </c>
      <c r="F29" s="8">
        <f t="shared" si="0"/>
        <v>724161.32339999976</v>
      </c>
      <c r="G29" s="7">
        <f>G28</f>
        <v>178241.76</v>
      </c>
      <c r="H29" s="7">
        <f t="shared" si="1"/>
        <v>545919.56339999975</v>
      </c>
      <c r="I29" s="7">
        <f t="shared" si="2"/>
        <v>0.34295092026158563</v>
      </c>
      <c r="J29" s="5">
        <v>0.6</v>
      </c>
      <c r="K29" s="5">
        <f>'[1]Ocupação e unit economics 2.0'!$F$102</f>
        <v>178</v>
      </c>
    </row>
    <row r="30" spans="1:11" x14ac:dyDescent="0.25">
      <c r="A30" s="5" t="s">
        <v>8</v>
      </c>
      <c r="B30" s="5">
        <v>2034</v>
      </c>
      <c r="C30" s="6">
        <f>SUM([5]Orçamento!$BU$2:$CF$2)</f>
        <v>1857134.9999999998</v>
      </c>
      <c r="D30" s="7">
        <f>SUM([5]Orçamento!$BU$10:$CF$10)-SUM([5]Orçamento!$BU$51:$CF$51)</f>
        <v>604593.66636000026</v>
      </c>
      <c r="E30" s="8">
        <f>C30*'[1]Ocupação e unit economics 2.0'!$L$5</f>
        <v>368269.87049999996</v>
      </c>
      <c r="F30" s="8">
        <f t="shared" si="0"/>
        <v>884271.46313999943</v>
      </c>
      <c r="G30" s="7">
        <f>G29</f>
        <v>178241.76</v>
      </c>
      <c r="H30" s="7">
        <f t="shared" si="1"/>
        <v>706029.70313999942</v>
      </c>
      <c r="I30" s="7">
        <f t="shared" si="2"/>
        <v>0.38017144856997448</v>
      </c>
      <c r="J30" s="5">
        <v>0.7</v>
      </c>
      <c r="K30" s="5">
        <f>'[1]Ocupação e unit economics 2.0'!$G$102</f>
        <v>208</v>
      </c>
    </row>
    <row r="31" spans="1:11" x14ac:dyDescent="0.25">
      <c r="A31" s="5" t="s">
        <v>9</v>
      </c>
      <c r="B31" s="5">
        <v>2029</v>
      </c>
      <c r="C31" s="8">
        <f>SUM([6]Orçamento!$C$2:$G$2)</f>
        <v>7361.4375</v>
      </c>
      <c r="D31" s="8">
        <f>SUM([6]Orçamento!$C$10:$G$10)-SUM([6]Orçamento!$C$51:$G$51)</f>
        <v>119414</v>
      </c>
      <c r="E31" s="7">
        <f>C31*'[1]Ocupação e unit economics 2.0'!$L$5</f>
        <v>1459.7730562500001</v>
      </c>
      <c r="F31" s="8">
        <f>C31-D31-E31</f>
        <v>-113512.33555625001</v>
      </c>
      <c r="G31" s="8">
        <f>5*'[3]Capex Total '!$C$5</f>
        <v>74267.399999999994</v>
      </c>
      <c r="H31" s="7">
        <f t="shared" si="1"/>
        <v>-187779.73555625</v>
      </c>
      <c r="I31" s="7">
        <f>H31/C31</f>
        <v>-25.508568884304186</v>
      </c>
      <c r="J31" s="5">
        <v>0.03</v>
      </c>
      <c r="K31" s="9">
        <f>ROUNDUP(('[1]Ocupação e unit economics 2.0'!$B$33*0.03)/'[1]Ocupação e unit economics 2.0'!$B$85,1)</f>
        <v>8.9</v>
      </c>
    </row>
    <row r="32" spans="1:11" x14ac:dyDescent="0.25">
      <c r="A32" s="5" t="s">
        <v>9</v>
      </c>
      <c r="B32" s="5">
        <v>2030</v>
      </c>
      <c r="C32" s="6">
        <f>SUM([6]Orçamento!$H$2:$S$2)</f>
        <v>317192.99999999994</v>
      </c>
      <c r="D32" s="7">
        <f>SUM([6]Orçamento!$H$10:$S$10)-SUM([6]Orçamento!$H$51:$S$51)</f>
        <v>376883.99999999994</v>
      </c>
      <c r="E32" s="8">
        <f>C32*'[1]Ocupação e unit economics 2.0'!$L$5</f>
        <v>62899.371899999991</v>
      </c>
      <c r="F32" s="8">
        <f t="shared" si="0"/>
        <v>-122590.3719</v>
      </c>
      <c r="G32" s="8">
        <f>12*'[3]Capex Total '!$C$5</f>
        <v>178241.76</v>
      </c>
      <c r="H32" s="7">
        <f t="shared" si="1"/>
        <v>-300832.13190000004</v>
      </c>
      <c r="I32" s="7">
        <f>H32/C32</f>
        <v>-0.94841983240487682</v>
      </c>
      <c r="J32" s="5">
        <v>0.12</v>
      </c>
      <c r="K32" s="5">
        <f>'[1]Ocupação e unit economics 2.0'!$B$102</f>
        <v>36</v>
      </c>
    </row>
    <row r="33" spans="1:11" x14ac:dyDescent="0.25">
      <c r="A33" s="5" t="s">
        <v>9</v>
      </c>
      <c r="B33" s="5">
        <v>2031</v>
      </c>
      <c r="C33" s="6">
        <f>SUM([6]Orçamento!$U$2:$AF$2)</f>
        <v>663262.49999999988</v>
      </c>
      <c r="D33" s="7">
        <f>SUM([6]Orçamento!$U$10:$AF$10)-SUM([6]Orçamento!$U$51:$AF$51)</f>
        <v>416739.59999999992</v>
      </c>
      <c r="E33" s="8">
        <f>C33*'[1]Ocupação e unit economics 2.0'!$L$5</f>
        <v>131524.95374999999</v>
      </c>
      <c r="F33" s="8">
        <f t="shared" si="0"/>
        <v>114997.94624999998</v>
      </c>
      <c r="G33" s="7">
        <f>G32</f>
        <v>178241.76</v>
      </c>
      <c r="H33" s="7">
        <f t="shared" si="1"/>
        <v>-63243.81375000003</v>
      </c>
      <c r="I33" s="7">
        <f t="shared" si="2"/>
        <v>-9.5352614914909317E-2</v>
      </c>
      <c r="J33" s="5">
        <v>0.25</v>
      </c>
      <c r="K33" s="5">
        <f>'[1]Ocupação e unit economics 2.0'!$C$102</f>
        <v>74</v>
      </c>
    </row>
    <row r="34" spans="1:11" x14ac:dyDescent="0.25">
      <c r="A34" s="5" t="s">
        <v>9</v>
      </c>
      <c r="B34" s="5">
        <v>2032</v>
      </c>
      <c r="C34" s="6">
        <f>SUM([6]Orçamento!$AH$2:$AS$2)</f>
        <v>1061220</v>
      </c>
      <c r="D34" s="7">
        <f>SUM([6]Orçamento!$AH$10:$AS$10)-SUM([6]Orçamento!$AH$51:$AS$51)</f>
        <v>459571.56</v>
      </c>
      <c r="E34" s="8">
        <f>C34*'[1]Ocupação e unit economics 2.0'!$L$5</f>
        <v>210439.92600000001</v>
      </c>
      <c r="F34" s="8">
        <f t="shared" si="0"/>
        <v>391208.51399999997</v>
      </c>
      <c r="G34" s="7">
        <f>G33</f>
        <v>178241.76</v>
      </c>
      <c r="H34" s="7">
        <f t="shared" si="1"/>
        <v>212966.75399999996</v>
      </c>
      <c r="I34" s="7">
        <f t="shared" si="2"/>
        <v>0.20068105953525184</v>
      </c>
      <c r="J34" s="5">
        <v>0.4</v>
      </c>
      <c r="K34" s="5">
        <f>'[1]Ocupação e unit economics 2.0'!$D$102</f>
        <v>119</v>
      </c>
    </row>
    <row r="35" spans="1:11" x14ac:dyDescent="0.25">
      <c r="A35" s="5" t="s">
        <v>9</v>
      </c>
      <c r="B35" s="5">
        <v>2033</v>
      </c>
      <c r="C35" s="6">
        <f>SUM([6]Orçamento!$AU$2:$BF$2)</f>
        <v>1326524.9999999998</v>
      </c>
      <c r="D35" s="7">
        <f>SUM([6]Orçamento!$AU$10:$BF$10)-SUM([6]Orçamento!$AU$51:$BF$51)</f>
        <v>503800.71600000025</v>
      </c>
      <c r="E35" s="8">
        <f>C35*'[1]Ocupação e unit economics 2.0'!$L$5</f>
        <v>263049.90749999997</v>
      </c>
      <c r="F35" s="8">
        <f t="shared" si="0"/>
        <v>559674.37649999955</v>
      </c>
      <c r="G35" s="7">
        <f>G34</f>
        <v>178241.76</v>
      </c>
      <c r="H35" s="7">
        <f t="shared" si="1"/>
        <v>381432.61649999954</v>
      </c>
      <c r="I35" s="7">
        <f t="shared" si="2"/>
        <v>0.28754272742692344</v>
      </c>
      <c r="J35" s="5">
        <v>0.5</v>
      </c>
      <c r="K35" s="5">
        <f>'[1]Ocupação e unit economics 2.0'!$E$102</f>
        <v>148</v>
      </c>
    </row>
    <row r="36" spans="1:11" x14ac:dyDescent="0.25">
      <c r="A36" s="5" t="s">
        <v>9</v>
      </c>
      <c r="B36" s="5">
        <v>2034</v>
      </c>
      <c r="C36" s="6">
        <f>SUM([6]Orçamento!$BH$2:$BS$2)</f>
        <v>1591829.9999999998</v>
      </c>
      <c r="D36" s="7">
        <f>SUM([6]Orçamento!$BH$10:$BS$10)-SUM([6]Orçamento!$BH$51:$BS$51)</f>
        <v>552008.78760000004</v>
      </c>
      <c r="E36" s="8">
        <f>C36*'[1]Ocupação e unit economics 2.0'!$L$5</f>
        <v>315659.88899999997</v>
      </c>
      <c r="F36" s="8">
        <f t="shared" si="0"/>
        <v>724161.32339999976</v>
      </c>
      <c r="G36" s="7">
        <f>G35</f>
        <v>178241.76</v>
      </c>
      <c r="H36" s="7">
        <f t="shared" si="1"/>
        <v>545919.56339999975</v>
      </c>
      <c r="I36" s="7">
        <f t="shared" si="2"/>
        <v>0.34295092026158563</v>
      </c>
      <c r="J36" s="5">
        <v>0.6</v>
      </c>
      <c r="K36" s="5">
        <f>'[1]Ocupação e unit economics 2.0'!$F$102</f>
        <v>178</v>
      </c>
    </row>
    <row r="37" spans="1:11" x14ac:dyDescent="0.25">
      <c r="A37" s="5" t="s">
        <v>10</v>
      </c>
      <c r="B37" s="5">
        <v>2030</v>
      </c>
      <c r="C37" s="8">
        <f>SUM([7]Orçamento!$C$2:$N$2)</f>
        <v>192390.6875</v>
      </c>
      <c r="D37" s="7">
        <f>SUM([7]Orçamento!$C$10:$N$10)-SUM([7]Orçamento!$F$51:$N$51)</f>
        <v>338762.99999999994</v>
      </c>
      <c r="E37" s="7">
        <f>C37*'[1]Ocupação e unit economics 2.0'!$L$5</f>
        <v>38151.073331250002</v>
      </c>
      <c r="F37" s="8">
        <f t="shared" si="0"/>
        <v>-184523.38583124994</v>
      </c>
      <c r="G37" s="8">
        <f>12*'[3]Capex Total '!$C$6</f>
        <v>178241.76</v>
      </c>
      <c r="H37" s="7">
        <f t="shared" si="1"/>
        <v>-362765.14583124995</v>
      </c>
      <c r="I37" s="7">
        <f t="shared" si="2"/>
        <v>-1.8855649956095195</v>
      </c>
      <c r="J37" s="5">
        <v>0.12</v>
      </c>
      <c r="K37" s="5">
        <f>'[1]Ocupação e unit economics 2.0'!$B$102</f>
        <v>36</v>
      </c>
    </row>
    <row r="38" spans="1:11" x14ac:dyDescent="0.25">
      <c r="A38" s="5" t="s">
        <v>10</v>
      </c>
      <c r="B38" s="5">
        <v>2031</v>
      </c>
      <c r="C38" s="6">
        <f>SUM([7]Orçamento!$U$2:$AF$2)</f>
        <v>663262.49999999988</v>
      </c>
      <c r="D38" s="7">
        <f>SUM([7]Orçamento!$U$10:$AF$10)-SUM([7]Orçamento!$U$51:$AF$51)</f>
        <v>416739.59999999992</v>
      </c>
      <c r="E38" s="8">
        <f>C38*'[1]Ocupação e unit economics 2.0'!$L$5</f>
        <v>131524.95374999999</v>
      </c>
      <c r="F38" s="8">
        <f t="shared" si="0"/>
        <v>114997.94624999998</v>
      </c>
      <c r="G38" s="7">
        <f>G37</f>
        <v>178241.76</v>
      </c>
      <c r="H38" s="7">
        <f t="shared" si="1"/>
        <v>-63243.81375000003</v>
      </c>
      <c r="I38" s="7">
        <f t="shared" si="2"/>
        <v>-9.5352614914909317E-2</v>
      </c>
      <c r="J38" s="5">
        <v>0.25</v>
      </c>
      <c r="K38" s="5">
        <f>'[1]Ocupação e unit economics 2.0'!$C$102</f>
        <v>74</v>
      </c>
    </row>
    <row r="39" spans="1:11" x14ac:dyDescent="0.25">
      <c r="A39" s="5" t="s">
        <v>10</v>
      </c>
      <c r="B39" s="5">
        <v>2032</v>
      </c>
      <c r="C39" s="6">
        <f>SUM([7]Orçamento!$AH$2:$AS$2)</f>
        <v>1061220</v>
      </c>
      <c r="D39" s="7">
        <f>SUM([7]Orçamento!$AH$10:$AS$10)-SUM([7]Orçamento!$AH$51:$AS$51)</f>
        <v>459571.56</v>
      </c>
      <c r="E39" s="8">
        <f>C39*'[1]Ocupação e unit economics 2.0'!$L$5</f>
        <v>210439.92600000001</v>
      </c>
      <c r="F39" s="8">
        <f t="shared" si="0"/>
        <v>391208.51399999997</v>
      </c>
      <c r="G39" s="7">
        <f>G38</f>
        <v>178241.76</v>
      </c>
      <c r="H39" s="7">
        <f t="shared" si="1"/>
        <v>212966.75399999996</v>
      </c>
      <c r="I39" s="7">
        <f t="shared" si="2"/>
        <v>0.20068105953525184</v>
      </c>
      <c r="J39" s="5">
        <v>0.4</v>
      </c>
      <c r="K39" s="5">
        <f>'[1]Ocupação e unit economics 2.0'!$D$102</f>
        <v>119</v>
      </c>
    </row>
    <row r="40" spans="1:11" x14ac:dyDescent="0.25">
      <c r="A40" s="5" t="s">
        <v>10</v>
      </c>
      <c r="B40" s="5">
        <v>3033</v>
      </c>
      <c r="C40" s="6">
        <f>SUM([7]Orçamento!$AU$2:$BF$2)</f>
        <v>1326524.9999999998</v>
      </c>
      <c r="D40" s="7">
        <f>SUM([7]Orçamento!$AU$10:$BF$10)-SUM([7]Orçamento!$AU$51:$BF$51)</f>
        <v>503800.71600000025</v>
      </c>
      <c r="E40" s="8">
        <f>C40*'[1]Ocupação e unit economics 2.0'!$L$5</f>
        <v>263049.90749999997</v>
      </c>
      <c r="F40" s="8">
        <f t="shared" si="0"/>
        <v>559674.37649999955</v>
      </c>
      <c r="G40" s="7">
        <f>G39</f>
        <v>178241.76</v>
      </c>
      <c r="H40" s="7">
        <f t="shared" si="1"/>
        <v>381432.61649999954</v>
      </c>
      <c r="I40" s="7">
        <f t="shared" si="2"/>
        <v>0.28754272742692344</v>
      </c>
      <c r="J40" s="5">
        <v>0.5</v>
      </c>
      <c r="K40" s="5">
        <f>'[1]Ocupação e unit economics 2.0'!$E$102</f>
        <v>148</v>
      </c>
    </row>
    <row r="41" spans="1:11" x14ac:dyDescent="0.25">
      <c r="A41" s="5" t="s">
        <v>10</v>
      </c>
      <c r="B41" s="5">
        <v>2034</v>
      </c>
      <c r="C41" s="6">
        <f>SUM([7]Orçamento!$BH$2:$BS$2)</f>
        <v>1591829.9999999998</v>
      </c>
      <c r="D41" s="7">
        <f>SUM([7]Orçamento!$BH$10:$BS$10)-SUM([7]Orçamento!$BH$51:$BS$51)</f>
        <v>552008.78760000004</v>
      </c>
      <c r="E41" s="8">
        <f>C41*'[1]Ocupação e unit economics 2.0'!$L$5</f>
        <v>315659.88899999997</v>
      </c>
      <c r="F41" s="8">
        <f t="shared" si="0"/>
        <v>724161.32339999976</v>
      </c>
      <c r="G41" s="7">
        <f>G40</f>
        <v>178241.76</v>
      </c>
      <c r="H41" s="7">
        <f t="shared" si="1"/>
        <v>545919.56339999975</v>
      </c>
      <c r="I41" s="7">
        <f t="shared" si="2"/>
        <v>0.34295092026158563</v>
      </c>
      <c r="J41" s="5">
        <v>0.6</v>
      </c>
      <c r="K41" s="5">
        <f>'[1]Ocupação e unit economics 2.0'!$F$102</f>
        <v>178</v>
      </c>
    </row>
    <row r="42" spans="1:11" x14ac:dyDescent="0.25">
      <c r="A42" s="5" t="s">
        <v>11</v>
      </c>
      <c r="B42" s="5">
        <v>2030</v>
      </c>
      <c r="C42" s="8">
        <f>SUM([8]Orçamento!$C$2:$G$2)</f>
        <v>7361.4375</v>
      </c>
      <c r="D42" s="8">
        <f>SUM([8]Orçamento!$C$10:$G$10)-SUM([8]Orçamento!$C$51:$G$51)</f>
        <v>119414</v>
      </c>
      <c r="E42" s="7">
        <f>C42*'[1]Ocupação e unit economics 2.0'!$L$5</f>
        <v>1459.7730562500001</v>
      </c>
      <c r="F42" s="8">
        <f t="shared" si="0"/>
        <v>-113512.33555625001</v>
      </c>
      <c r="G42" s="8">
        <f>5*'[3]Capex Total '!$C$7</f>
        <v>74267.399999999994</v>
      </c>
      <c r="H42" s="7">
        <f t="shared" si="1"/>
        <v>-187779.73555625</v>
      </c>
      <c r="I42" s="7">
        <f t="shared" si="2"/>
        <v>-25.508568884304186</v>
      </c>
      <c r="J42" s="5">
        <v>0.03</v>
      </c>
      <c r="K42" s="9">
        <f>ROUNDUP(('[1]Ocupação e unit economics 2.0'!$B$33*0.03)/'[1]Ocupação e unit economics 2.0'!$B$85,1)</f>
        <v>8.9</v>
      </c>
    </row>
    <row r="43" spans="1:11" x14ac:dyDescent="0.25">
      <c r="A43" s="5" t="s">
        <v>11</v>
      </c>
      <c r="B43" s="5">
        <v>2031</v>
      </c>
      <c r="C43" s="6">
        <f>SUM([8]Orçamento!$H$2:$S$2)</f>
        <v>317192.99999999994</v>
      </c>
      <c r="D43" s="8">
        <f>SUM([8]Orçamento!$H$10:$S$10)-SUM([8]Orçamento!$H$51:$S$51)</f>
        <v>376883.99999999994</v>
      </c>
      <c r="E43" s="8">
        <f>C43*'[1]Ocupação e unit economics 2.0'!$L$5</f>
        <v>62899.371899999991</v>
      </c>
      <c r="F43" s="8">
        <f t="shared" si="0"/>
        <v>-122590.3719</v>
      </c>
      <c r="G43" s="8">
        <f>12*'[3]Capex Total '!$C$7</f>
        <v>178241.76</v>
      </c>
      <c r="H43" s="7">
        <f t="shared" si="1"/>
        <v>-300832.13190000004</v>
      </c>
      <c r="I43" s="7">
        <f t="shared" si="2"/>
        <v>-0.94841983240487682</v>
      </c>
      <c r="J43" s="5">
        <v>0.12</v>
      </c>
      <c r="K43" s="5">
        <f>'[1]Ocupação e unit economics 2.0'!$B$102</f>
        <v>36</v>
      </c>
    </row>
    <row r="44" spans="1:11" x14ac:dyDescent="0.25">
      <c r="A44" s="5" t="s">
        <v>11</v>
      </c>
      <c r="B44" s="5">
        <v>2032</v>
      </c>
      <c r="C44" s="6">
        <f>SUM([8]Orçamento!$U$2:$AF$2)</f>
        <v>663262.49999999988</v>
      </c>
      <c r="D44" s="7">
        <f>SUM([8]Orçamento!$U$10:$AF$10)-SUM([8]Orçamento!$U$51:$AF$51)</f>
        <v>416739.59999999992</v>
      </c>
      <c r="E44" s="8">
        <f>C44*'[1]Ocupação e unit economics 2.0'!$L$5</f>
        <v>131524.95374999999</v>
      </c>
      <c r="F44" s="8">
        <f t="shared" si="0"/>
        <v>114997.94624999998</v>
      </c>
      <c r="G44" s="7">
        <f>G43</f>
        <v>178241.76</v>
      </c>
      <c r="H44" s="7">
        <f t="shared" si="1"/>
        <v>-63243.81375000003</v>
      </c>
      <c r="I44" s="7">
        <f t="shared" si="2"/>
        <v>-9.5352614914909317E-2</v>
      </c>
      <c r="J44" s="5">
        <v>0.25</v>
      </c>
      <c r="K44" s="5">
        <f>'[1]Ocupação e unit economics 2.0'!$C$102</f>
        <v>74</v>
      </c>
    </row>
    <row r="45" spans="1:11" x14ac:dyDescent="0.25">
      <c r="A45" s="5" t="s">
        <v>11</v>
      </c>
      <c r="B45" s="5">
        <v>3033</v>
      </c>
      <c r="C45" s="6">
        <f>SUM([8]Orçamento!$AH$2:$AS$2)</f>
        <v>1061220</v>
      </c>
      <c r="D45" s="7">
        <f>SUM([8]Orçamento!$AH$10:$AS$10)-SUM([8]Orçamento!$AH$51:$AS$51)</f>
        <v>459571.56</v>
      </c>
      <c r="E45" s="8">
        <f>C45*'[1]Ocupação e unit economics 2.0'!$L$5</f>
        <v>210439.92600000001</v>
      </c>
      <c r="F45" s="8">
        <f t="shared" si="0"/>
        <v>391208.51399999997</v>
      </c>
      <c r="G45" s="7">
        <f>G44</f>
        <v>178241.76</v>
      </c>
      <c r="H45" s="7">
        <f t="shared" si="1"/>
        <v>212966.75399999996</v>
      </c>
      <c r="I45" s="7">
        <f t="shared" si="2"/>
        <v>0.20068105953525184</v>
      </c>
      <c r="J45" s="5">
        <v>0.4</v>
      </c>
      <c r="K45" s="5">
        <f>'[1]Ocupação e unit economics 2.0'!$D$102</f>
        <v>119</v>
      </c>
    </row>
    <row r="46" spans="1:11" x14ac:dyDescent="0.25">
      <c r="A46" s="5" t="s">
        <v>11</v>
      </c>
      <c r="B46" s="5">
        <v>2034</v>
      </c>
      <c r="C46" s="6">
        <f>SUM([8]Orçamento!$AU$2:$BF$2)</f>
        <v>1326524.9999999998</v>
      </c>
      <c r="D46" s="7">
        <f>SUM([8]Orçamento!$AU$10:$BF$10)-SUM([8]Orçamento!$AU$51:$BF$51)</f>
        <v>503800.71600000025</v>
      </c>
      <c r="E46" s="8">
        <f>C46*'[1]Ocupação e unit economics 2.0'!$L$5</f>
        <v>263049.90749999997</v>
      </c>
      <c r="F46" s="8">
        <f t="shared" si="0"/>
        <v>559674.37649999955</v>
      </c>
      <c r="G46" s="7">
        <f>G45</f>
        <v>178241.76</v>
      </c>
      <c r="H46" s="7">
        <f t="shared" si="1"/>
        <v>381432.61649999954</v>
      </c>
      <c r="I46" s="7">
        <f t="shared" si="2"/>
        <v>0.28754272742692344</v>
      </c>
      <c r="J46" s="5">
        <v>0.5</v>
      </c>
      <c r="K46" s="5">
        <f>'[1]Ocupação e unit economics 2.0'!$E$102</f>
        <v>148</v>
      </c>
    </row>
    <row r="47" spans="1:11" x14ac:dyDescent="0.25">
      <c r="A47" s="5" t="s">
        <v>12</v>
      </c>
      <c r="B47" s="5">
        <v>2031</v>
      </c>
      <c r="C47" s="8">
        <f>SUM([9]Orçamento!$C$2:$N$2)</f>
        <v>192390.6875</v>
      </c>
      <c r="D47" s="7">
        <f>SUM([9]Orçamento!$C$10:$N$10)-SUM([9]Orçamento!$D$51:$N$51)</f>
        <v>338762.99999999994</v>
      </c>
      <c r="E47" s="7">
        <f>C47*'[1]Ocupação e unit economics 2.0'!$L$5</f>
        <v>38151.073331250002</v>
      </c>
      <c r="F47" s="8">
        <f t="shared" si="0"/>
        <v>-184523.38583124994</v>
      </c>
      <c r="G47" s="8">
        <f>12*'[3]Capex Total '!$C$8</f>
        <v>178241.76</v>
      </c>
      <c r="H47" s="7">
        <f t="shared" si="1"/>
        <v>-362765.14583124995</v>
      </c>
      <c r="I47" s="7">
        <f t="shared" si="2"/>
        <v>-1.8855649956095195</v>
      </c>
      <c r="J47" s="5">
        <v>0.12</v>
      </c>
      <c r="K47" s="5">
        <f>'[1]Ocupação e unit economics 2.0'!$B$102</f>
        <v>36</v>
      </c>
    </row>
    <row r="48" spans="1:11" x14ac:dyDescent="0.25">
      <c r="A48" s="5" t="s">
        <v>12</v>
      </c>
      <c r="B48" s="5">
        <v>2032</v>
      </c>
      <c r="C48" s="6">
        <f>SUM([9]Orçamento!$U$2:$AF$2)</f>
        <v>663262.49999999988</v>
      </c>
      <c r="D48" s="7">
        <f>SUM([9]Orçamento!$U$10:$AF$10)-SUM([9]Orçamento!$U$51:$AF$51)</f>
        <v>416739.59999999992</v>
      </c>
      <c r="E48" s="8">
        <f>C48*'[1]Ocupação e unit economics 2.0'!$L$5</f>
        <v>131524.95374999999</v>
      </c>
      <c r="F48" s="8">
        <f t="shared" si="0"/>
        <v>114997.94624999998</v>
      </c>
      <c r="G48" s="7">
        <f>G47</f>
        <v>178241.76</v>
      </c>
      <c r="H48" s="7">
        <f t="shared" si="1"/>
        <v>-63243.81375000003</v>
      </c>
      <c r="I48" s="7">
        <f t="shared" si="2"/>
        <v>-9.5352614914909317E-2</v>
      </c>
      <c r="J48" s="5">
        <v>0.25</v>
      </c>
      <c r="K48" s="5">
        <f>'[1]Ocupação e unit economics 2.0'!$C$102</f>
        <v>74</v>
      </c>
    </row>
    <row r="49" spans="1:11" x14ac:dyDescent="0.25">
      <c r="A49" s="5" t="s">
        <v>12</v>
      </c>
      <c r="B49" s="5">
        <v>2033</v>
      </c>
      <c r="C49" s="6">
        <f>SUM([9]Orçamento!$AH$2:$AS$2)</f>
        <v>1061220</v>
      </c>
      <c r="D49" s="7">
        <f>SUM([9]Orçamento!$AH$10:$AS$10)-SUM([9]Orçamento!$AH$51:$AS$51)</f>
        <v>459571.56</v>
      </c>
      <c r="E49" s="8">
        <f>C49*'[1]Ocupação e unit economics 2.0'!$L$5</f>
        <v>210439.92600000001</v>
      </c>
      <c r="F49" s="8">
        <f t="shared" si="0"/>
        <v>391208.51399999997</v>
      </c>
      <c r="G49" s="7">
        <f>G48</f>
        <v>178241.76</v>
      </c>
      <c r="H49" s="7">
        <f t="shared" si="1"/>
        <v>212966.75399999996</v>
      </c>
      <c r="I49" s="7">
        <f t="shared" si="2"/>
        <v>0.20068105953525184</v>
      </c>
      <c r="J49" s="5">
        <v>0.4</v>
      </c>
      <c r="K49" s="5">
        <f>'[1]Ocupação e unit economics 2.0'!$D$102</f>
        <v>119</v>
      </c>
    </row>
    <row r="50" spans="1:11" x14ac:dyDescent="0.25">
      <c r="A50" s="5" t="s">
        <v>12</v>
      </c>
      <c r="B50" s="5">
        <v>2034</v>
      </c>
      <c r="C50" s="6">
        <f>SUM([9]Orçamento!$AU$2:$BF$2)</f>
        <v>1326524.9999999998</v>
      </c>
      <c r="D50" s="7">
        <f>SUM([9]Orçamento!$AU$10:$BF$10)-SUM([9]Orçamento!$AU$51:$BF$51)</f>
        <v>503800.71600000025</v>
      </c>
      <c r="E50" s="8">
        <f>C50*'[1]Ocupação e unit economics 2.0'!$L$5</f>
        <v>263049.90749999997</v>
      </c>
      <c r="F50" s="8">
        <f t="shared" si="0"/>
        <v>559674.37649999955</v>
      </c>
      <c r="G50" s="7">
        <f>G49</f>
        <v>178241.76</v>
      </c>
      <c r="H50" s="7">
        <f t="shared" si="1"/>
        <v>381432.61649999954</v>
      </c>
      <c r="I50" s="7">
        <f t="shared" si="2"/>
        <v>0.28754272742692344</v>
      </c>
      <c r="J50" s="5">
        <v>0.5</v>
      </c>
      <c r="K50" s="5">
        <f>'[1]Ocupação e unit economics 2.0'!$E$102</f>
        <v>148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781B-6813-466D-85BF-51B990FA5330}">
  <dimension ref="A1:C41"/>
  <sheetViews>
    <sheetView workbookViewId="0">
      <selection activeCell="C42" sqref="C42"/>
    </sheetView>
  </sheetViews>
  <sheetFormatPr defaultRowHeight="15" x14ac:dyDescent="0.25"/>
  <cols>
    <col min="2" max="2" width="54.28515625" bestFit="1" customWidth="1"/>
    <col min="3" max="3" width="10.5703125" bestFit="1" customWidth="1"/>
  </cols>
  <sheetData>
    <row r="1" spans="1:3" x14ac:dyDescent="0.25">
      <c r="A1" s="1" t="s">
        <v>13</v>
      </c>
      <c r="B1" s="1" t="s">
        <v>23</v>
      </c>
      <c r="C1" s="1" t="s">
        <v>24</v>
      </c>
    </row>
    <row r="2" spans="1:3" x14ac:dyDescent="0.25">
      <c r="A2">
        <v>1</v>
      </c>
      <c r="B2" t="s">
        <v>27</v>
      </c>
      <c r="C2" s="10">
        <f>'[1]Ocupação e unit economics 2.0'!$B$70</f>
        <v>0.90500000000000003</v>
      </c>
    </row>
    <row r="3" spans="1:3" x14ac:dyDescent="0.25">
      <c r="A3">
        <v>2</v>
      </c>
      <c r="B3" t="s">
        <v>27</v>
      </c>
      <c r="C3" s="10">
        <f>'[1]Ocupação e unit economics 2.0'!$C$70</f>
        <v>0.80169999999999997</v>
      </c>
    </row>
    <row r="4" spans="1:3" x14ac:dyDescent="0.25">
      <c r="A4">
        <v>3</v>
      </c>
      <c r="B4" t="s">
        <v>27</v>
      </c>
      <c r="C4" s="10">
        <f>'[1]Ocupação e unit economics 2.0'!$D$70</f>
        <v>0.80169999999999997</v>
      </c>
    </row>
    <row r="5" spans="1:3" x14ac:dyDescent="0.25">
      <c r="A5">
        <v>4</v>
      </c>
      <c r="B5" t="s">
        <v>27</v>
      </c>
      <c r="C5" s="10">
        <f>'[1]Ocupação e unit economics 2.0'!$E$70</f>
        <v>0.80169999999999997</v>
      </c>
    </row>
    <row r="6" spans="1:3" x14ac:dyDescent="0.25">
      <c r="A6">
        <v>5</v>
      </c>
      <c r="B6" t="s">
        <v>27</v>
      </c>
      <c r="C6" s="10">
        <f>'[1]Ocupação e unit economics 2.0'!$F$70</f>
        <v>0.80169999999999997</v>
      </c>
    </row>
    <row r="7" spans="1:3" x14ac:dyDescent="0.25">
      <c r="A7">
        <v>6</v>
      </c>
      <c r="B7" t="s">
        <v>27</v>
      </c>
      <c r="C7" s="10">
        <f>'[1]Ocupação e unit economics 2.0'!$G$70</f>
        <v>0.80169999999999997</v>
      </c>
    </row>
    <row r="8" spans="1:3" x14ac:dyDescent="0.25">
      <c r="A8">
        <v>7</v>
      </c>
      <c r="B8" t="s">
        <v>27</v>
      </c>
      <c r="C8" s="10">
        <f>'[1]Ocupação e unit economics 2.0'!$G$70</f>
        <v>0.80169999999999997</v>
      </c>
    </row>
    <row r="9" spans="1:3" x14ac:dyDescent="0.25">
      <c r="A9">
        <v>8</v>
      </c>
      <c r="B9" t="s">
        <v>27</v>
      </c>
      <c r="C9" s="10">
        <f>'[1]Ocupação e unit economics 2.0'!$H$70</f>
        <v>0.80169999999999997</v>
      </c>
    </row>
    <row r="10" spans="1:3" x14ac:dyDescent="0.25">
      <c r="A10">
        <v>1</v>
      </c>
      <c r="B10" t="s">
        <v>34</v>
      </c>
      <c r="C10" s="2">
        <f>'[1]Ocupação e unit economics 2.0'!$B$71</f>
        <v>48771.491712707175</v>
      </c>
    </row>
    <row r="11" spans="1:3" x14ac:dyDescent="0.25">
      <c r="A11">
        <v>2</v>
      </c>
      <c r="B11" t="s">
        <v>34</v>
      </c>
      <c r="C11" s="2">
        <f>'[1]Ocupação e unit economics 2.0'!$C$71</f>
        <v>60148.060371710126</v>
      </c>
    </row>
    <row r="12" spans="1:3" x14ac:dyDescent="0.25">
      <c r="A12">
        <v>3</v>
      </c>
      <c r="B12" t="s">
        <v>34</v>
      </c>
      <c r="C12" s="2">
        <f>'[1]Ocupação e unit economics 2.0'!$D$71</f>
        <v>66415.404764874649</v>
      </c>
    </row>
    <row r="13" spans="1:3" x14ac:dyDescent="0.25">
      <c r="A13">
        <v>4</v>
      </c>
      <c r="B13" t="s">
        <v>34</v>
      </c>
      <c r="C13" s="2">
        <f>'[1]Ocupação e unit economics 2.0'!$E$71</f>
        <v>72259.814144942022</v>
      </c>
    </row>
    <row r="14" spans="1:3" x14ac:dyDescent="0.25">
      <c r="A14">
        <v>5</v>
      </c>
      <c r="B14" t="s">
        <v>34</v>
      </c>
      <c r="C14" s="2">
        <f>'[1]Ocupação e unit economics 2.0'!$F$71</f>
        <v>79259.426593488868</v>
      </c>
    </row>
    <row r="15" spans="1:3" x14ac:dyDescent="0.25">
      <c r="A15">
        <v>6</v>
      </c>
      <c r="B15" t="s">
        <v>34</v>
      </c>
      <c r="C15" s="2">
        <f>'[1]Ocupação e unit economics 2.0'!$G$71</f>
        <v>86210.091717600139</v>
      </c>
    </row>
    <row r="16" spans="1:3" x14ac:dyDescent="0.25">
      <c r="A16">
        <v>7</v>
      </c>
      <c r="B16" t="s">
        <v>34</v>
      </c>
      <c r="C16" s="2">
        <f>'[1]Ocupação e unit economics 2.0'!$G$71</f>
        <v>86210.091717600139</v>
      </c>
    </row>
    <row r="17" spans="1:3" x14ac:dyDescent="0.25">
      <c r="A17">
        <v>8</v>
      </c>
      <c r="B17" t="s">
        <v>34</v>
      </c>
      <c r="C17" s="2">
        <f>'[1]Ocupação e unit economics 2.0'!$H$71</f>
        <v>94268.421582886396</v>
      </c>
    </row>
    <row r="18" spans="1:3" x14ac:dyDescent="0.25">
      <c r="A18">
        <v>1</v>
      </c>
      <c r="B18" t="s">
        <v>35</v>
      </c>
      <c r="C18" s="10">
        <f>'[1]Ocupação e unit economics 2.0'!$B$73</f>
        <v>0.22059814196961464</v>
      </c>
    </row>
    <row r="19" spans="1:3" x14ac:dyDescent="0.25">
      <c r="A19">
        <v>2</v>
      </c>
      <c r="B19" t="s">
        <v>35</v>
      </c>
      <c r="C19" s="10">
        <f>'[1]Ocupação e unit economics 2.0'!$C$73</f>
        <v>0.27205545483896704</v>
      </c>
    </row>
    <row r="20" spans="1:3" x14ac:dyDescent="0.25">
      <c r="A20">
        <v>3</v>
      </c>
      <c r="B20" t="s">
        <v>35</v>
      </c>
      <c r="C20" s="10">
        <f>'[1]Ocupação e unit economics 2.0'!$D$73</f>
        <v>0.3004032555656681</v>
      </c>
    </row>
    <row r="21" spans="1:3" x14ac:dyDescent="0.25">
      <c r="A21">
        <v>4</v>
      </c>
      <c r="B21" t="s">
        <v>35</v>
      </c>
      <c r="C21" s="10">
        <f>'[1]Ocupação e unit economics 2.0'!$E$73</f>
        <v>0.32683808060130953</v>
      </c>
    </row>
    <row r="22" spans="1:3" x14ac:dyDescent="0.25">
      <c r="A22">
        <v>5</v>
      </c>
      <c r="B22" t="s">
        <v>35</v>
      </c>
      <c r="C22" s="10">
        <f>'[1]Ocupação e unit economics 2.0'!$F$73</f>
        <v>0.35849800008362692</v>
      </c>
    </row>
    <row r="23" spans="1:3" x14ac:dyDescent="0.25">
      <c r="A23">
        <v>6</v>
      </c>
      <c r="B23" t="s">
        <v>35</v>
      </c>
      <c r="C23" s="10">
        <f>'[1]Ocupação e unit economics 2.0'!$G$73</f>
        <v>0.38993652611567881</v>
      </c>
    </row>
    <row r="24" spans="1:3" x14ac:dyDescent="0.25">
      <c r="A24">
        <v>7</v>
      </c>
      <c r="B24" t="s">
        <v>35</v>
      </c>
      <c r="C24" s="10">
        <f>'[1]Ocupação e unit economics 2.0'!$G$73</f>
        <v>0.38993652611567881</v>
      </c>
    </row>
    <row r="25" spans="1:3" x14ac:dyDescent="0.25">
      <c r="A25">
        <v>8</v>
      </c>
      <c r="B25" t="s">
        <v>35</v>
      </c>
      <c r="C25" s="10">
        <f>'[1]Ocupação e unit economics 2.0'!$H$73</f>
        <v>0.42638512617351232</v>
      </c>
    </row>
    <row r="26" spans="1:3" x14ac:dyDescent="0.25">
      <c r="A26">
        <v>1</v>
      </c>
      <c r="B26" t="s">
        <v>36</v>
      </c>
      <c r="C26" s="3">
        <f>'[1]Ocupação e unit economics 2.0'!$B$72</f>
        <v>848.1998558731683</v>
      </c>
    </row>
    <row r="27" spans="1:3" x14ac:dyDescent="0.25">
      <c r="A27">
        <v>2</v>
      </c>
      <c r="B27" t="s">
        <v>36</v>
      </c>
      <c r="C27" s="3">
        <f>'[1]Ocupação e unit economics 2.0'!$C$72</f>
        <v>1046.0532238558283</v>
      </c>
    </row>
    <row r="28" spans="1:3" x14ac:dyDescent="0.25">
      <c r="A28">
        <v>3</v>
      </c>
      <c r="B28" t="s">
        <v>36</v>
      </c>
      <c r="C28" s="3">
        <f>'[1]Ocupação e unit economics 2.0'!$D$72</f>
        <v>1155.0505176499939</v>
      </c>
    </row>
    <row r="29" spans="1:3" x14ac:dyDescent="0.25">
      <c r="A29">
        <v>4</v>
      </c>
      <c r="B29" t="s">
        <v>36</v>
      </c>
      <c r="C29" s="3">
        <f>'[1]Ocupação e unit economics 2.0'!$E$72</f>
        <v>1256.6924199120351</v>
      </c>
    </row>
    <row r="30" spans="1:3" x14ac:dyDescent="0.25">
      <c r="A30">
        <v>5</v>
      </c>
      <c r="B30" t="s">
        <v>36</v>
      </c>
      <c r="C30" s="3">
        <f>'[1]Ocupação e unit economics 2.0'!$F$72</f>
        <v>1378.4248103215455</v>
      </c>
    </row>
    <row r="31" spans="1:3" x14ac:dyDescent="0.25">
      <c r="A31">
        <v>6</v>
      </c>
      <c r="B31" t="s">
        <v>36</v>
      </c>
      <c r="C31" s="3">
        <f>'[1]Ocupação e unit economics 2.0'!$G$72</f>
        <v>1499.305942914785</v>
      </c>
    </row>
    <row r="32" spans="1:3" x14ac:dyDescent="0.25">
      <c r="A32">
        <v>7</v>
      </c>
      <c r="B32" t="s">
        <v>36</v>
      </c>
      <c r="C32" s="3">
        <f>'[1]Ocupação e unit economics 2.0'!$G$72</f>
        <v>1499.305942914785</v>
      </c>
    </row>
    <row r="33" spans="1:3" x14ac:dyDescent="0.25">
      <c r="A33">
        <v>8</v>
      </c>
      <c r="B33" t="s">
        <v>36</v>
      </c>
      <c r="C33" s="3">
        <f>'[1]Ocupação e unit economics 2.0'!$H$72</f>
        <v>1639.4508101371548</v>
      </c>
    </row>
    <row r="34" spans="1:3" x14ac:dyDescent="0.25">
      <c r="A34">
        <v>1</v>
      </c>
      <c r="B34" t="s">
        <v>37</v>
      </c>
      <c r="C34">
        <f>'[1]Ocupação e unit economics 2.0'!$B$91</f>
        <v>66</v>
      </c>
    </row>
    <row r="35" spans="1:3" x14ac:dyDescent="0.25">
      <c r="A35">
        <v>2</v>
      </c>
      <c r="B35" t="s">
        <v>37</v>
      </c>
      <c r="C35">
        <f>'[1]Ocupação e unit economics 2.0'!$C$91</f>
        <v>81</v>
      </c>
    </row>
    <row r="36" spans="1:3" x14ac:dyDescent="0.25">
      <c r="A36">
        <v>3</v>
      </c>
      <c r="B36" t="s">
        <v>37</v>
      </c>
      <c r="C36">
        <f>'[1]Ocupação e unit economics 2.0'!$D$91</f>
        <v>89</v>
      </c>
    </row>
    <row r="37" spans="1:3" x14ac:dyDescent="0.25">
      <c r="A37">
        <v>4</v>
      </c>
      <c r="B37" t="s">
        <v>37</v>
      </c>
      <c r="C37">
        <f>'[1]Ocupação e unit economics 2.0'!$E$91</f>
        <v>97</v>
      </c>
    </row>
    <row r="38" spans="1:3" x14ac:dyDescent="0.25">
      <c r="A38">
        <v>5</v>
      </c>
      <c r="B38" t="s">
        <v>37</v>
      </c>
      <c r="C38">
        <f>'[1]Ocupação e unit economics 2.0'!$F$91</f>
        <v>107</v>
      </c>
    </row>
    <row r="39" spans="1:3" x14ac:dyDescent="0.25">
      <c r="A39">
        <v>6</v>
      </c>
      <c r="B39" t="s">
        <v>37</v>
      </c>
      <c r="C39">
        <f>'[1]Ocupação e unit economics 2.0'!$G$91</f>
        <v>116</v>
      </c>
    </row>
    <row r="40" spans="1:3" x14ac:dyDescent="0.25">
      <c r="A40">
        <v>7</v>
      </c>
      <c r="B40" t="s">
        <v>37</v>
      </c>
      <c r="C40">
        <f>'[1]Ocupação e unit economics 2.0'!$G$91</f>
        <v>116</v>
      </c>
    </row>
    <row r="41" spans="1:3" x14ac:dyDescent="0.25">
      <c r="A41">
        <v>8</v>
      </c>
      <c r="B41" t="s">
        <v>37</v>
      </c>
      <c r="C41">
        <f>'[1]Ocupação e unit economics 2.0'!$H$91</f>
        <v>127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446E-B32C-40CD-A646-6C13D5576F41}">
  <dimension ref="A1:B7"/>
  <sheetViews>
    <sheetView workbookViewId="0">
      <selection activeCell="A7" sqref="A7"/>
    </sheetView>
  </sheetViews>
  <sheetFormatPr defaultRowHeight="15" x14ac:dyDescent="0.25"/>
  <cols>
    <col min="1" max="1" width="46.7109375" bestFit="1" customWidth="1"/>
    <col min="2" max="2" width="13.28515625" bestFit="1" customWidth="1"/>
  </cols>
  <sheetData>
    <row r="1" spans="1:2" x14ac:dyDescent="0.25">
      <c r="A1" s="4" t="s">
        <v>29</v>
      </c>
      <c r="B1" s="4" t="s">
        <v>30</v>
      </c>
    </row>
    <row r="2" spans="1:2" x14ac:dyDescent="0.25">
      <c r="A2" s="5" t="s">
        <v>25</v>
      </c>
      <c r="B2" s="5">
        <f>'[1]Ocupação e unit economics 2.0'!$B$33</f>
        <v>3845</v>
      </c>
    </row>
    <row r="3" spans="1:2" x14ac:dyDescent="0.25">
      <c r="A3" s="5" t="s">
        <v>26</v>
      </c>
      <c r="B3" s="5">
        <f>'[1]Ocupação e unit economics 2.0'!$B$63</f>
        <v>57.5</v>
      </c>
    </row>
    <row r="4" spans="1:2" x14ac:dyDescent="0.25">
      <c r="A4" s="5" t="s">
        <v>31</v>
      </c>
      <c r="B4" s="8">
        <f>B2*B3</f>
        <v>221087.5</v>
      </c>
    </row>
    <row r="5" spans="1:2" x14ac:dyDescent="0.25">
      <c r="A5" s="5" t="s">
        <v>32</v>
      </c>
      <c r="B5" s="7">
        <f>12*B4</f>
        <v>2653050</v>
      </c>
    </row>
    <row r="6" spans="1:2" x14ac:dyDescent="0.25">
      <c r="A6" s="5" t="s">
        <v>33</v>
      </c>
      <c r="B6" s="8">
        <f>'[1]Ocupação e unit economics 2.0'!$B$85</f>
        <v>12.99</v>
      </c>
    </row>
    <row r="7" spans="1:2" x14ac:dyDescent="0.25">
      <c r="A7" s="5" t="s">
        <v>28</v>
      </c>
      <c r="B7" s="5">
        <f>'[1]Ocupação e unit economics 2.0'!$B$81</f>
        <v>1.5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Unidades</vt:lpstr>
      <vt:lpstr>Base financeira</vt:lpstr>
      <vt:lpstr>Unit economics anual</vt:lpstr>
      <vt:lpstr>Unit economics (fixos)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</dc:creator>
  <cp:lastModifiedBy>Fabricio</cp:lastModifiedBy>
  <dcterms:created xsi:type="dcterms:W3CDTF">2015-06-05T18:19:34Z</dcterms:created>
  <dcterms:modified xsi:type="dcterms:W3CDTF">2026-03-17T23:16:07Z</dcterms:modified>
</cp:coreProperties>
</file>