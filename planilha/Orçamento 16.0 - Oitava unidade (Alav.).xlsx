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BFB73869-967D-4E98-8D25-D435FE94E423}" xr6:coauthVersionLast="47" xr6:coauthVersionMax="47" xr10:uidLastSave="{00000000-0000-0000-0000-000000000000}"/>
  <bookViews>
    <workbookView xWindow="-120" yWindow="-120" windowWidth="20730" windowHeight="11040" tabRatio="813" xr2:uid="{ED845254-A046-4DFD-95F6-102E162D1E8B}"/>
  </bookViews>
  <sheets>
    <sheet name="Orçamento" sheetId="1" r:id="rId1"/>
    <sheet name="Custo investimento " sheetId="31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Fórmulas fee para split" sheetId="29" r:id="rId11"/>
    <sheet name="Benefícios Personal" sheetId="10" r:id="rId12"/>
    <sheet name="Benefícios aluno" sheetId="20" r:id="rId13"/>
    <sheet name="Manifesto" sheetId="25" r:id="rId14"/>
    <sheet name="Concorrentes" sheetId="16" r:id="rId15"/>
    <sheet name="Local" sheetId="21" r:id="rId16"/>
    <sheet name="Sistema" sheetId="19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6" i="1" l="1"/>
  <c r="BR16" i="1"/>
  <c r="BQ16" i="1"/>
  <c r="BP16" i="1"/>
  <c r="BO16" i="1"/>
  <c r="BN16" i="1"/>
  <c r="BM16" i="1"/>
  <c r="BL16" i="1"/>
  <c r="BK16" i="1"/>
  <c r="BJ16" i="1"/>
  <c r="BI16" i="1"/>
  <c r="BH16" i="1"/>
  <c r="E81" i="1"/>
  <c r="D3" i="31"/>
  <c r="D2" i="31"/>
  <c r="D18" i="31"/>
  <c r="D14" i="31"/>
  <c r="W38" i="15"/>
  <c r="D11" i="31" l="1"/>
  <c r="T2" i="1"/>
  <c r="AG2" i="1"/>
  <c r="U52" i="1"/>
  <c r="U49" i="1"/>
  <c r="U48" i="1"/>
  <c r="U47" i="1"/>
  <c r="U45" i="1"/>
  <c r="U44" i="1"/>
  <c r="U43" i="1"/>
  <c r="U42" i="1"/>
  <c r="U41" i="1"/>
  <c r="U40" i="1"/>
  <c r="U39" i="1"/>
  <c r="U37" i="1"/>
  <c r="U36" i="1"/>
  <c r="U35" i="1"/>
  <c r="U34" i="1"/>
  <c r="U32" i="1"/>
  <c r="U31" i="1"/>
  <c r="U29" i="1"/>
  <c r="U28" i="1"/>
  <c r="U16" i="1"/>
  <c r="U12" i="1"/>
  <c r="M2" i="1"/>
  <c r="G2" i="1"/>
  <c r="F2" i="1"/>
  <c r="U33" i="1" l="1"/>
  <c r="X12" i="1"/>
  <c r="W12" i="1"/>
  <c r="V12" i="1"/>
  <c r="CF51" i="1" l="1"/>
  <c r="CE51" i="1"/>
  <c r="CD51" i="1"/>
  <c r="CC51" i="1"/>
  <c r="CB51" i="1"/>
  <c r="CA51" i="1"/>
  <c r="BZ51" i="1"/>
  <c r="BY51" i="1"/>
  <c r="BX51" i="1"/>
  <c r="BW51" i="1"/>
  <c r="BV51" i="1"/>
  <c r="BU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F51" i="1"/>
  <c r="AE51" i="1"/>
  <c r="AD51" i="1"/>
  <c r="AC51" i="1"/>
  <c r="AB51" i="1"/>
  <c r="AA51" i="1"/>
  <c r="Z51" i="1"/>
  <c r="Y51" i="1"/>
  <c r="X51" i="1"/>
  <c r="W51" i="1"/>
  <c r="V51" i="1"/>
  <c r="U51" i="1"/>
  <c r="N51" i="1"/>
  <c r="M51" i="1"/>
  <c r="L51" i="1"/>
  <c r="K51" i="1"/>
  <c r="J51" i="1"/>
  <c r="I51" i="1"/>
  <c r="H51" i="1"/>
  <c r="G51" i="1"/>
  <c r="F51" i="1"/>
  <c r="I17" i="11"/>
  <c r="H30" i="3"/>
  <c r="H29" i="3"/>
  <c r="H24" i="3"/>
  <c r="B24" i="30"/>
  <c r="A24" i="30"/>
  <c r="C24" i="30" s="1"/>
  <c r="D24" i="30" s="1"/>
  <c r="I8" i="30" s="1"/>
  <c r="BU27" i="1" s="1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B12" i="30"/>
  <c r="A12" i="30"/>
  <c r="C12" i="30" s="1"/>
  <c r="D12" i="30" s="1"/>
  <c r="H8" i="30" s="1"/>
  <c r="J8" i="30" s="1"/>
  <c r="B11" i="30"/>
  <c r="A11" i="30"/>
  <c r="C11" i="30" s="1"/>
  <c r="D11" i="30" s="1"/>
  <c r="H7" i="30" s="1"/>
  <c r="J7" i="30" s="1"/>
  <c r="B10" i="30"/>
  <c r="A10" i="30"/>
  <c r="C10" i="30" s="1"/>
  <c r="D10" i="30" s="1"/>
  <c r="H6" i="30" s="1"/>
  <c r="B9" i="30"/>
  <c r="A9" i="30"/>
  <c r="C9" i="30" s="1"/>
  <c r="D9" i="30" s="1"/>
  <c r="H5" i="30" s="1"/>
  <c r="J5" i="30" s="1"/>
  <c r="B8" i="30"/>
  <c r="A8" i="30"/>
  <c r="C8" i="30" s="1"/>
  <c r="D8" i="30" s="1"/>
  <c r="H4" i="30" s="1"/>
  <c r="B7" i="30"/>
  <c r="A7" i="30"/>
  <c r="C7" i="30" s="1"/>
  <c r="D7" i="30" s="1"/>
  <c r="H3" i="30" s="1"/>
  <c r="J3" i="30" s="1"/>
  <c r="J4" i="30" l="1"/>
  <c r="U26" i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AU26" i="1"/>
  <c r="BU26" i="1"/>
  <c r="C3" i="29"/>
  <c r="C5" i="29" s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E82" i="1"/>
  <c r="F82" i="1"/>
  <c r="J20" i="11"/>
  <c r="J21" i="11"/>
  <c r="J22" i="11"/>
  <c r="J23" i="11"/>
  <c r="C7" i="29" l="1"/>
  <c r="C8" i="29" s="1"/>
  <c r="E53" i="28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F56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F58" i="1"/>
  <c r="AE58" i="1"/>
  <c r="AD58" i="1"/>
  <c r="AC58" i="1"/>
  <c r="AB58" i="1"/>
  <c r="AA58" i="1"/>
  <c r="Z58" i="1"/>
  <c r="Y58" i="1"/>
  <c r="X58" i="1"/>
  <c r="W58" i="1"/>
  <c r="V58" i="1"/>
  <c r="U58" i="1"/>
  <c r="N58" i="1"/>
  <c r="M58" i="1"/>
  <c r="L58" i="1"/>
  <c r="K58" i="1"/>
  <c r="J58" i="1"/>
  <c r="I58" i="1"/>
  <c r="H58" i="1"/>
  <c r="F58" i="1"/>
  <c r="J34" i="22"/>
  <c r="J33" i="22"/>
  <c r="K34" i="22"/>
  <c r="I34" i="22"/>
  <c r="I33" i="22"/>
  <c r="H34" i="22"/>
  <c r="H32" i="22"/>
  <c r="H33" i="22"/>
  <c r="H31" i="22"/>
  <c r="G33" i="22"/>
  <c r="G34" i="22"/>
  <c r="F34" i="22"/>
  <c r="F33" i="22"/>
  <c r="E34" i="22"/>
  <c r="E33" i="22"/>
  <c r="D32" i="22"/>
  <c r="D33" i="22"/>
  <c r="D34" i="22"/>
  <c r="D28" i="22"/>
  <c r="E28" i="22" s="1"/>
  <c r="B33" i="22"/>
  <c r="B32" i="22"/>
  <c r="B31" i="22"/>
  <c r="B30" i="22"/>
  <c r="B29" i="22"/>
  <c r="C12" i="1"/>
  <c r="C11" i="1" s="1"/>
  <c r="D12" i="1"/>
  <c r="E12" i="1"/>
  <c r="C82" i="1"/>
  <c r="C80" i="1"/>
  <c r="C79" i="1"/>
  <c r="C77" i="1" s="1"/>
  <c r="C53" i="1" s="1"/>
  <c r="C50" i="1"/>
  <c r="C46" i="1"/>
  <c r="C38" i="1"/>
  <c r="C33" i="1"/>
  <c r="C30" i="1"/>
  <c r="C25" i="1"/>
  <c r="C19" i="1"/>
  <c r="C18" i="1"/>
  <c r="C15" i="1" s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B1" i="11"/>
  <c r="D7" i="28" l="1"/>
  <c r="B8" i="28" s="1"/>
  <c r="E7" i="28"/>
  <c r="D54" i="28"/>
  <c r="E54" i="28"/>
  <c r="E55" i="28"/>
  <c r="D55" i="28"/>
  <c r="B56" i="28" s="1"/>
  <c r="F28" i="22"/>
  <c r="G28" i="22"/>
  <c r="C10" i="1"/>
  <c r="C8" i="1" s="1"/>
  <c r="C5" i="1" s="1"/>
  <c r="D56" i="28" l="1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K20" i="11"/>
  <c r="B9" i="28" l="1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5" i="1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I8" i="1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6" i="1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12" i="11"/>
  <c r="B13" i="11" s="1"/>
  <c r="I3" i="11" s="1"/>
  <c r="G79" i="1" s="1"/>
  <c r="J33" i="1"/>
  <c r="E16" i="28" l="1"/>
  <c r="D16" i="28"/>
  <c r="B17" i="28" s="1"/>
  <c r="E10" i="28"/>
  <c r="D10" i="28"/>
  <c r="D2" i="28" s="1"/>
  <c r="E60" i="28"/>
  <c r="D60" i="28"/>
  <c r="B61" i="28" s="1"/>
  <c r="E61" i="28" s="1"/>
  <c r="I12" i="11"/>
  <c r="H2" i="1"/>
  <c r="I2" i="1" s="1"/>
  <c r="J2" i="1" s="1"/>
  <c r="K2" i="1" s="1"/>
  <c r="L2" i="1" s="1"/>
  <c r="N2" i="1" s="1"/>
  <c r="I11" i="11"/>
  <c r="I2" i="11"/>
  <c r="R16" i="15"/>
  <c r="D17" i="28" l="1"/>
  <c r="B18" i="28" s="1"/>
  <c r="E17" i="28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J8" i="2"/>
  <c r="W36" i="15" l="1"/>
  <c r="E18" i="28"/>
  <c r="D18" i="28"/>
  <c r="F10" i="3"/>
  <c r="G10" i="3" s="1"/>
  <c r="G24" i="3" s="1"/>
  <c r="G29" i="3" s="1"/>
  <c r="C7" i="3"/>
  <c r="J82" i="1"/>
  <c r="K82" i="1"/>
  <c r="L82" i="1"/>
  <c r="M82" i="1"/>
  <c r="N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V52" i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V49" i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V47" i="1"/>
  <c r="W47" i="1" s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V41" i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V43" i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V44" i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V45" i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V39" i="1"/>
  <c r="W39" i="1" s="1"/>
  <c r="V37" i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V36" i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V35" i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V32" i="1"/>
  <c r="W32" i="1" s="1"/>
  <c r="X32" i="1" s="1"/>
  <c r="V31" i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V28" i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V29" i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J21" i="1"/>
  <c r="D79" i="1"/>
  <c r="D77" i="1" s="1"/>
  <c r="E79" i="1"/>
  <c r="E77" i="1" s="1"/>
  <c r="F80" i="1"/>
  <c r="G80" i="1"/>
  <c r="F79" i="1"/>
  <c r="F77" i="1" s="1"/>
  <c r="F53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E80" i="1" l="1"/>
  <c r="E53" i="1" s="1"/>
  <c r="BI28" i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H28" i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C12" i="3"/>
  <c r="H10" i="3"/>
  <c r="G30" i="3"/>
  <c r="D7" i="3"/>
  <c r="D30" i="22"/>
  <c r="E30" i="22" s="1"/>
  <c r="G30" i="22" s="1"/>
  <c r="E32" i="22"/>
  <c r="I32" i="22" s="1"/>
  <c r="D29" i="22"/>
  <c r="E29" i="22" s="1"/>
  <c r="F29" i="22" s="1"/>
  <c r="D31" i="22"/>
  <c r="E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D56" i="2"/>
  <c r="H56" i="2" s="1"/>
  <c r="I56" i="2" s="1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BU28" i="1" l="1"/>
  <c r="BV28" i="1" s="1"/>
  <c r="BW28" i="1" s="1"/>
  <c r="BX28" i="1" s="1"/>
  <c r="BY28" i="1" s="1"/>
  <c r="BZ28" i="1" s="1"/>
  <c r="F7" i="3"/>
  <c r="H28" i="22"/>
  <c r="I28" i="22" s="1"/>
  <c r="J28" i="22" s="1"/>
  <c r="G32" i="22"/>
  <c r="G31" i="22"/>
  <c r="I31" i="22"/>
  <c r="F31" i="22"/>
  <c r="F32" i="22"/>
  <c r="J32" i="22" s="1"/>
  <c r="BR56" i="1" s="1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CF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A28" i="1" l="1"/>
  <c r="CB28" i="1" s="1"/>
  <c r="K28" i="22"/>
  <c r="G58" i="1"/>
  <c r="G56" i="1" s="1"/>
  <c r="G53" i="1" s="1"/>
  <c r="H56" i="1"/>
  <c r="H53" i="1" s="1"/>
  <c r="J31" i="22"/>
  <c r="BD56" i="1" s="1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AR56" i="1" s="1"/>
  <c r="BW56" i="1"/>
  <c r="CA56" i="1"/>
  <c r="CD56" i="1"/>
  <c r="J29" i="22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H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C28" i="1" l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K56" i="1"/>
  <c r="AP56" i="1"/>
  <c r="L56" i="1"/>
  <c r="AO56" i="1"/>
  <c r="K30" i="22"/>
  <c r="J56" i="1"/>
  <c r="AH56" i="1"/>
  <c r="AM56" i="1"/>
  <c r="AN56" i="1"/>
  <c r="AK56" i="1"/>
  <c r="AS56" i="1"/>
  <c r="AL56" i="1"/>
  <c r="AI56" i="1"/>
  <c r="AQ56" i="1"/>
  <c r="AJ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I38" i="1"/>
  <c r="D8" i="3"/>
  <c r="D9" i="3"/>
  <c r="D6" i="3"/>
  <c r="F6" i="3" s="1"/>
  <c r="I30" i="1"/>
  <c r="J30" i="1"/>
  <c r="K30" i="1"/>
  <c r="L30" i="1"/>
  <c r="M30" i="1"/>
  <c r="N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I70" i="1"/>
  <c r="J70" i="1"/>
  <c r="K70" i="1"/>
  <c r="L70" i="1"/>
  <c r="M70" i="1"/>
  <c r="N70" i="1"/>
  <c r="I67" i="1"/>
  <c r="J67" i="1"/>
  <c r="K67" i="1"/>
  <c r="L67" i="1"/>
  <c r="M67" i="1"/>
  <c r="N67" i="1"/>
  <c r="I59" i="1"/>
  <c r="J59" i="1"/>
  <c r="K59" i="1"/>
  <c r="L59" i="1"/>
  <c r="M59" i="1"/>
  <c r="N59" i="1"/>
  <c r="I56" i="1"/>
  <c r="I54" i="1"/>
  <c r="J54" i="1"/>
  <c r="K54" i="1"/>
  <c r="L54" i="1"/>
  <c r="M54" i="1"/>
  <c r="N54" i="1"/>
  <c r="I46" i="1"/>
  <c r="J46" i="1"/>
  <c r="K46" i="1"/>
  <c r="L46" i="1"/>
  <c r="M46" i="1"/>
  <c r="N46" i="1"/>
  <c r="N38" i="1"/>
  <c r="I33" i="1"/>
  <c r="K33" i="1"/>
  <c r="L33" i="1"/>
  <c r="M33" i="1"/>
  <c r="N33" i="1"/>
  <c r="I25" i="1"/>
  <c r="J25" i="1"/>
  <c r="K25" i="1"/>
  <c r="L25" i="1"/>
  <c r="M25" i="1"/>
  <c r="N25" i="1"/>
  <c r="H6" i="2"/>
  <c r="I6" i="2" s="1"/>
  <c r="J6" i="2" s="1"/>
  <c r="H7" i="2"/>
  <c r="I7" i="2" s="1"/>
  <c r="J7" i="2" s="1"/>
  <c r="H4" i="2"/>
  <c r="H3" i="2"/>
  <c r="I3" i="2" s="1"/>
  <c r="J3" i="2" s="1"/>
  <c r="B5" i="3"/>
  <c r="BY27" i="1" l="1"/>
  <c r="BZ27" i="1" s="1"/>
  <c r="CA27" i="1" s="1"/>
  <c r="CB27" i="1" s="1"/>
  <c r="CC27" i="1" s="1"/>
  <c r="CD27" i="1" s="1"/>
  <c r="CE27" i="1" s="1"/>
  <c r="CF27" i="1" s="1"/>
  <c r="F9" i="3"/>
  <c r="D12" i="3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M12" i="1"/>
  <c r="M11" i="1" s="1"/>
  <c r="K12" i="1"/>
  <c r="K11" i="1" s="1"/>
  <c r="J12" i="1"/>
  <c r="J11" i="1" s="1"/>
  <c r="I12" i="1"/>
  <c r="I11" i="1" s="1"/>
  <c r="G6" i="3"/>
  <c r="K16" i="1"/>
  <c r="J16" i="1"/>
  <c r="M16" i="1"/>
  <c r="L16" i="1"/>
  <c r="N16" i="1"/>
  <c r="N18" i="1"/>
  <c r="I18" i="1"/>
  <c r="M18" i="1"/>
  <c r="L18" i="1"/>
  <c r="K18" i="1"/>
  <c r="J17" i="1"/>
  <c r="K17" i="1"/>
  <c r="L17" i="1"/>
  <c r="M17" i="1"/>
  <c r="N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Y12" i="1"/>
  <c r="Y11" i="1" s="1"/>
  <c r="W11" i="1"/>
  <c r="N12" i="1"/>
  <c r="N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I13" i="11"/>
  <c r="U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K79" i="1"/>
  <c r="K77" i="1" s="1"/>
  <c r="M79" i="1"/>
  <c r="M77" i="1" s="1"/>
  <c r="L79" i="1"/>
  <c r="L77" i="1" s="1"/>
  <c r="J79" i="1"/>
  <c r="J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N53" i="1"/>
  <c r="U53" i="1"/>
  <c r="L53" i="1"/>
  <c r="J53" i="1"/>
  <c r="K53" i="1"/>
  <c r="AE53" i="1"/>
  <c r="W53" i="1"/>
  <c r="M53" i="1"/>
  <c r="AD53" i="1"/>
  <c r="X53" i="1"/>
  <c r="AA53" i="1"/>
  <c r="BF12" i="1"/>
  <c r="BI12" i="1" s="1"/>
  <c r="BI11" i="1" s="1"/>
  <c r="AZ12" i="1"/>
  <c r="AZ11" i="1" s="1"/>
  <c r="BB12" i="1"/>
  <c r="BB11" i="1" s="1"/>
  <c r="D19" i="1"/>
  <c r="D15" i="1" s="1"/>
  <c r="D10" i="1" s="1"/>
  <c r="D8" i="1" s="1"/>
  <c r="E19" i="1"/>
  <c r="E15" i="1" s="1"/>
  <c r="E10" i="1" s="1"/>
  <c r="E8" i="1" s="1"/>
  <c r="E5" i="1" s="1"/>
  <c r="F19" i="1"/>
  <c r="G19" i="1"/>
  <c r="G15" i="1" s="1"/>
  <c r="G10" i="1" s="1"/>
  <c r="G8" i="1" s="1"/>
  <c r="H19" i="1"/>
  <c r="H15" i="1" s="1"/>
  <c r="H10" i="1" s="1"/>
  <c r="H8" i="1" s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M50" i="1"/>
  <c r="N50" i="1"/>
  <c r="K50" i="1"/>
  <c r="L50" i="1"/>
  <c r="J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M19" i="1"/>
  <c r="N19" i="1"/>
  <c r="L19" i="1"/>
  <c r="J19" i="1"/>
  <c r="I19" i="1"/>
  <c r="L20" i="1"/>
  <c r="N20" i="1"/>
  <c r="M20" i="1"/>
  <c r="M15" i="1" s="1"/>
  <c r="J20" i="1"/>
  <c r="I9" i="2"/>
  <c r="D5" i="1" l="1"/>
  <c r="H5" i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AL50" i="1"/>
  <c r="AN50" i="1"/>
  <c r="AJ50" i="1"/>
  <c r="AH50" i="1"/>
  <c r="AO50" i="1"/>
  <c r="AI50" i="1"/>
  <c r="AK50" i="1"/>
  <c r="AS50" i="1"/>
  <c r="AP50" i="1"/>
  <c r="AR50" i="1"/>
  <c r="AM50" i="1"/>
  <c r="AQ50" i="1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4" i="1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J8" i="1"/>
  <c r="M10" i="1"/>
  <c r="M8" i="1" s="1"/>
  <c r="L15" i="1"/>
  <c r="L10" i="1" s="1"/>
  <c r="L8" i="1" s="1"/>
  <c r="I15" i="1"/>
  <c r="I10" i="1" s="1"/>
  <c r="I8" i="1" s="1"/>
  <c r="F8" i="1" l="1"/>
  <c r="J4" i="31"/>
  <c r="J3" i="31" s="1"/>
  <c r="I5" i="1"/>
  <c r="I6" i="1" s="1"/>
  <c r="J5" i="1"/>
  <c r="J6" i="1" s="1"/>
  <c r="Z5" i="1"/>
  <c r="Z6" i="1" s="1"/>
  <c r="AA5" i="1"/>
  <c r="AA6" i="1" s="1"/>
  <c r="AB5" i="1"/>
  <c r="AB6" i="1" s="1"/>
  <c r="K5" i="1"/>
  <c r="K6" i="1" s="1"/>
  <c r="L5" i="1"/>
  <c r="L6" i="1" s="1"/>
  <c r="M5" i="1"/>
  <c r="M6" i="1" s="1"/>
  <c r="N5" i="1"/>
  <c r="N6" i="1" s="1"/>
  <c r="Y5" i="1"/>
  <c r="Y6" i="1" s="1"/>
  <c r="F5" i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CF12" i="1"/>
  <c r="CF11" i="1" s="1"/>
  <c r="BW12" i="1"/>
  <c r="BW11" i="1" s="1"/>
  <c r="BV12" i="1"/>
  <c r="BV11" i="1" s="1"/>
  <c r="CB12" i="1"/>
  <c r="CB11" i="1" s="1"/>
  <c r="BU12" i="1"/>
  <c r="BU11" i="1" s="1"/>
  <c r="AX50" i="1"/>
  <c r="BF50" i="1"/>
  <c r="AY50" i="1"/>
  <c r="AU50" i="1"/>
  <c r="AZ50" i="1"/>
  <c r="BA50" i="1"/>
  <c r="AW50" i="1"/>
  <c r="BB50" i="1"/>
  <c r="BD50" i="1"/>
  <c r="BC50" i="1"/>
  <c r="AV50" i="1"/>
  <c r="J35" i="2"/>
  <c r="I39" i="2"/>
  <c r="I15" i="1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BE50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9" i="1"/>
  <c r="CF77" i="1" s="1"/>
  <c r="CF53" i="1" s="1"/>
  <c r="BY79" i="1"/>
  <c r="BY77" i="1" s="1"/>
  <c r="BY53" i="1" s="1"/>
  <c r="BV79" i="1"/>
  <c r="BV77" i="1" s="1"/>
  <c r="BV53" i="1" s="1"/>
  <c r="BX79" i="1"/>
  <c r="BX77" i="1" s="1"/>
  <c r="BX53" i="1" s="1"/>
  <c r="I16" i="1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J10" i="31" l="1"/>
  <c r="J9" i="31" s="1"/>
  <c r="D6" i="31" s="1"/>
  <c r="D7" i="31" s="1"/>
  <c r="F6" i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D21" i="31" l="1"/>
  <c r="D20" i="31"/>
  <c r="D24" i="31" s="1"/>
  <c r="D27" i="31" s="1"/>
  <c r="D28" i="31" s="1"/>
  <c r="D17" i="31"/>
  <c r="D22" i="31" s="1"/>
  <c r="AD5" i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AE5" i="1" l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AF5" i="1" l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H8" i="1" s="1"/>
  <c r="AJ26" i="1"/>
  <c r="AI25" i="1"/>
  <c r="AG5" i="1" l="1"/>
  <c r="AH5" i="1"/>
  <c r="AH6" i="1" s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AI5" i="1" l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N10" i="1"/>
  <c r="AN8" i="1" s="1"/>
  <c r="AM6" i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P10" i="1"/>
  <c r="AP8" i="1" s="1"/>
  <c r="AO6" i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S8" i="1" s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5" i="1" l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U8" i="1" s="1"/>
  <c r="AW26" i="1"/>
  <c r="AV25" i="1"/>
  <c r="AT5" i="1" l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AW8" i="1" s="1"/>
  <c r="BB32" i="1"/>
  <c r="BA30" i="1"/>
  <c r="BB39" i="1"/>
  <c r="BA38" i="1"/>
  <c r="BB47" i="1"/>
  <c r="BA46" i="1"/>
  <c r="AX25" i="1"/>
  <c r="AY26" i="1"/>
  <c r="AY34" i="1"/>
  <c r="AX33" i="1"/>
  <c r="AW5" i="1" l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s="1"/>
  <c r="BF5" i="1" l="1"/>
  <c r="BF6" i="1" s="1"/>
  <c r="BL46" i="1"/>
  <c r="BM47" i="1"/>
  <c r="BL38" i="1"/>
  <c r="BM39" i="1"/>
  <c r="BJ26" i="1"/>
  <c r="BI25" i="1"/>
  <c r="BH10" i="1"/>
  <c r="BH8" i="1" s="1"/>
  <c r="BJ34" i="1"/>
  <c r="BI33" i="1"/>
  <c r="BL30" i="1"/>
  <c r="BM32" i="1"/>
  <c r="BG5" i="1" l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J8" i="1" s="1"/>
  <c r="BO39" i="1"/>
  <c r="BN38" i="1"/>
  <c r="BK25" i="1"/>
  <c r="BL26" i="1"/>
  <c r="BJ5" i="1" l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N26" i="1"/>
  <c r="BP30" i="1"/>
  <c r="BQ32" i="1"/>
  <c r="BL10" i="1"/>
  <c r="BL8" i="1" s="1"/>
  <c r="BP38" i="1"/>
  <c r="BQ39" i="1"/>
  <c r="BM10" i="1" l="1"/>
  <c r="BM8" i="1" s="1"/>
  <c r="BM5" i="1" s="1"/>
  <c r="BM6" i="1" s="1"/>
  <c r="BL5" i="1"/>
  <c r="BL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S8" i="1" s="1"/>
  <c r="BY47" i="1"/>
  <c r="BX46" i="1"/>
  <c r="BV26" i="1"/>
  <c r="BU25" i="1"/>
  <c r="BY39" i="1"/>
  <c r="BX38" i="1"/>
  <c r="BV34" i="1"/>
  <c r="BU33" i="1"/>
  <c r="BX30" i="1"/>
  <c r="BY32" i="1"/>
  <c r="BS5" i="1" l="1"/>
  <c r="BS6" i="1" s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BT5" i="1" l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E25" i="1"/>
  <c r="CD5" i="1" l="1"/>
  <c r="CD6" i="1" s="1"/>
  <c r="CF10" i="1"/>
  <c r="CF8" i="1" s="1"/>
  <c r="CE10" i="1"/>
  <c r="CE8" i="1" s="1"/>
  <c r="CE5" i="1" l="1"/>
  <c r="CE6" i="1" s="1"/>
  <c r="CF5" i="1"/>
  <c r="CF6" i="1" s="1"/>
  <c r="CG5" i="1" l="1"/>
  <c r="D30" i="31" s="1"/>
  <c r="D31" i="31" l="1"/>
  <c r="CH5" i="1" s="1"/>
</calcChain>
</file>

<file path=xl/sharedStrings.xml><?xml version="1.0" encoding="utf-8"?>
<sst xmlns="http://schemas.openxmlformats.org/spreadsheetml/2006/main" count="903" uniqueCount="619">
  <si>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</si>
  <si>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</si>
  <si>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</si>
  <si>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</si>
  <si>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</si>
  <si>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</si>
  <si>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</si>
  <si>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</si>
  <si>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</si>
  <si>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</si>
  <si>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</si>
  <si>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</si>
  <si>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</si>
  <si>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</si>
  <si>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</si>
  <si>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</si>
  <si>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</si>
  <si>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</si>
  <si>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</si>
  <si>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</si>
  <si>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</si>
  <si>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</si>
  <si>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</si>
  <si>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</si>
  <si>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</si>
  <si>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</si>
  <si>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</si>
  <si>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</si>
  <si>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</si>
  <si>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</si>
  <si>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</si>
  <si>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</si>
  <si>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</si>
  <si>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</si>
  <si>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</si>
  <si>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</si>
  <si>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</si>
  <si>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</si>
  <si>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</si>
  <si>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</si>
  <si>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</si>
  <si>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</si>
  <si>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</si>
  <si>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</si>
  <si>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</si>
  <si>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</si>
  <si>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</si>
  <si>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</si>
  <si>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</si>
  <si>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</si>
  <si>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</si>
  <si>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</si>
  <si>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</si>
  <si>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</si>
  <si>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</si>
  <si>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</si>
  <si>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</si>
  <si>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</si>
  <si>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</si>
  <si>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</si>
  <si>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</si>
  <si>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</si>
  <si>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</si>
  <si>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</si>
  <si>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</si>
  <si>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</si>
  <si>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</si>
  <si>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</si>
  <si>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</si>
  <si>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</si>
  <si>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</si>
  <si>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</si>
  <si>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</si>
  <si>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</si>
  <si>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</si>
  <si>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</si>
  <si>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</si>
  <si>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</si>
  <si>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</si>
  <si>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</si>
  <si>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</si>
  <si>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</si>
  <si>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</si>
  <si>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</si>
  <si>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</si>
  <si>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</si>
  <si>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</si>
  <si>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</si>
  <si>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</si>
  <si>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</si>
  <si>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</si>
  <si>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</si>
  <si>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</si>
  <si>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</si>
  <si>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</si>
  <si>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</si>
  <si>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</si>
  <si>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</si>
  <si>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</si>
  <si>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</si>
  <si>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</si>
  <si>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</si>
  <si>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</si>
  <si>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</si>
  <si>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</si>
  <si>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</si>
  <si>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</si>
  <si>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</si>
  <si>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</si>
  <si>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</si>
  <si>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</si>
  <si>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</si>
  <si>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</si>
  <si>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</si>
  <si>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</si>
  <si>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</si>
  <si>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</si>
  <si>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</si>
  <si>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</si>
  <si>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</si>
  <si>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</si>
  <si>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</si>
  <si>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</si>
  <si>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</si>
  <si>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</si>
  <si>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</si>
  <si>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</si>
  <si>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</si>
  <si>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</si>
  <si>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</si>
  <si>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</si>
  <si>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</si>
  <si>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</si>
  <si>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</si>
  <si>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</si>
  <si>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</si>
  <si>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</si>
  <si>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</si>
  <si>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</si>
  <si>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</si>
  <si>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</si>
  <si>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</si>
  <si>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</si>
  <si>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</si>
  <si>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</si>
  <si>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</si>
  <si>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</si>
  <si>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</si>
  <si>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</si>
  <si>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</si>
  <si>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</si>
  <si>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</si>
  <si>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</si>
  <si>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</si>
  <si>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</si>
  <si>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</si>
  <si>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</si>
  <si>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</si>
  <si>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</si>
  <si>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</si>
  <si>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</si>
  <si>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</si>
  <si>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</si>
  <si>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</si>
  <si>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</si>
  <si>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</si>
  <si>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</si>
  <si>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</si>
  <si>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</si>
  <si>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</si>
  <si>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</si>
  <si>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</si>
  <si>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</si>
  <si>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</si>
  <si>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</si>
  <si>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</si>
  <si>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</si>
  <si>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</si>
  <si>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</si>
  <si>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</si>
  <si>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</si>
  <si>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</si>
  <si>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</si>
  <si>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</si>
  <si>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</si>
  <si>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</si>
  <si>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</si>
  <si>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</si>
  <si>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</si>
  <si>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</si>
  <si>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</si>
  <si>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</si>
  <si>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</si>
  <si>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</si>
  <si>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</si>
  <si>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</si>
  <si>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</si>
  <si>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</si>
  <si>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</si>
  <si>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</si>
  <si>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</si>
  <si>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</si>
  <si>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</si>
  <si>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</si>
  <si>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</si>
  <si>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</si>
  <si>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</si>
  <si>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</si>
  <si>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</si>
  <si>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</si>
  <si>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</si>
  <si>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</si>
  <si>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</si>
  <si>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</si>
  <si>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</si>
  <si>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</si>
  <si>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</si>
  <si>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</si>
  <si>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</si>
  <si>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</si>
  <si>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</si>
  <si>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</si>
  <si>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</si>
  <si>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</si>
  <si>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</si>
  <si>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</si>
  <si>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</si>
  <si>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</si>
  <si>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</si>
  <si>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</si>
  <si>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</si>
  <si>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</si>
  <si>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</si>
  <si>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</si>
  <si>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</si>
  <si>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</si>
  <si>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</si>
  <si>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</si>
  <si>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</si>
  <si>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</si>
  <si>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</si>
  <si>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</si>
  <si>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</si>
  <si>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</si>
  <si>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</si>
  <si>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</si>
  <si>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</si>
  <si>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</si>
  <si>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</si>
  <si>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</si>
  <si>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</si>
  <si>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</si>
  <si>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</si>
  <si>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</si>
  <si>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</si>
  <si>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</si>
  <si>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</si>
  <si>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</si>
  <si>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</si>
  <si>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</si>
  <si>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</si>
  <si>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</si>
  <si>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</si>
  <si>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</si>
  <si>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</si>
  <si>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</si>
  <si>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</si>
  <si>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</si>
  <si>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</si>
  <si>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</si>
  <si>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</si>
  <si>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</si>
  <si>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</si>
  <si>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</si>
  <si>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</si>
  <si>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</si>
  <si>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</si>
  <si>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</si>
  <si>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</si>
  <si>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</si>
  <si>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</si>
  <si>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</si>
  <si>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</si>
  <si>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</si>
  <si>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</si>
  <si>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</si>
  <si>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</si>
  <si>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</si>
  <si>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</si>
  <si>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</si>
  <si>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</si>
  <si>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</si>
  <si>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</si>
  <si>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</si>
  <si>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</si>
  <si>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</si>
  <si>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</si>
  <si>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</si>
  <si>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</si>
  <si>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</si>
  <si>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</si>
  <si>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</si>
  <si>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</si>
  <si>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</si>
  <si>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</si>
  <si>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</si>
  <si>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</si>
  <si>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</si>
  <si>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</si>
  <si>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</si>
  <si>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</si>
  <si>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</si>
  <si>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</si>
  <si>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</si>
  <si>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</si>
  <si>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</si>
  <si>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</si>
  <si>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</si>
  <si>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</si>
  <si>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</si>
  <si>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</si>
  <si>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</si>
  <si>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</si>
  <si>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</si>
  <si>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</si>
  <si>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</si>
  <si>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</si>
  <si>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</si>
  <si>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</si>
  <si>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</si>
  <si>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</si>
  <si>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</si>
  <si>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</si>
  <si>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</si>
  <si>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</si>
  <si>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</si>
  <si>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</si>
  <si>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</si>
  <si>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</si>
  <si>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</si>
  <si>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</si>
  <si>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</si>
  <si>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</si>
  <si>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</si>
  <si>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</si>
  <si>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</si>
  <si>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</si>
  <si>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</si>
  <si>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</si>
  <si>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</si>
  <si>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</si>
  <si>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</si>
  <si>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</si>
  <si>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</si>
  <si>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</si>
  <si>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</si>
  <si>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</si>
  <si>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</si>
  <si>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</si>
  <si>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</si>
  <si>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</si>
  <si>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</si>
  <si>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</si>
  <si>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</si>
  <si>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</si>
  <si>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</si>
  <si>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</si>
  <si>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</si>
  <si>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</si>
  <si>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</si>
  <si>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</si>
  <si>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</si>
  <si>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</si>
  <si>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</si>
  <si>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</si>
  <si>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</si>
  <si>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</si>
  <si>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</si>
  <si>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</si>
  <si>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</si>
  <si>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</si>
  <si>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</si>
  <si>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</si>
  <si>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</si>
  <si>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</si>
  <si>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</si>
  <si>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</si>
  <si>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</si>
  <si>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</si>
  <si>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</si>
  <si>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</si>
  <si>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</si>
  <si>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</si>
  <si>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</si>
  <si>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</si>
  <si>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</si>
  <si>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</si>
  <si>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</si>
  <si>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</si>
  <si>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</si>
  <si>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</si>
  <si>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</si>
  <si>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</si>
  <si>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</si>
  <si>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</si>
  <si>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</si>
  <si>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</si>
  <si>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</si>
  <si>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</si>
  <si>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</si>
  <si>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</si>
  <si>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</si>
  <si>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</si>
  <si>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</si>
  <si>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</si>
  <si>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</si>
  <si>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</si>
  <si>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</si>
  <si>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</si>
  <si>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</si>
  <si>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</si>
  <si>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</si>
  <si>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</si>
  <si>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</si>
  <si>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</si>
  <si>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</si>
  <si>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</si>
  <si>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</si>
  <si>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</si>
  <si>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</si>
  <si>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</si>
  <si>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</si>
  <si>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</si>
  <si>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</si>
  <si>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</si>
  <si>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</si>
  <si>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</si>
  <si>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</si>
  <si>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</si>
  <si>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</si>
  <si>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</si>
  <si>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</si>
  <si>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</si>
  <si>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</si>
  <si>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</si>
  <si>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</si>
  <si>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</si>
  <si>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</si>
  <si>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</si>
  <si>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</si>
  <si>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</si>
  <si>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</si>
  <si>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</si>
  <si>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</si>
  <si>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</si>
  <si>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</si>
  <si>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</si>
  <si>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</si>
  <si>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</si>
  <si>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</si>
  <si>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</si>
  <si>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</si>
  <si>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</si>
  <si>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</si>
  <si>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</si>
  <si>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</si>
  <si>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</si>
  <si>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</si>
  <si>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</si>
  <si>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</si>
  <si>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</si>
  <si>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</si>
  <si>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</si>
  <si>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</si>
  <si>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</si>
  <si>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</si>
  <si>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</si>
  <si>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</si>
  <si>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</si>
  <si>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</si>
  <si>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</si>
  <si>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</si>
  <si>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</si>
  <si>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</si>
  <si>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</si>
  <si>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</si>
  <si>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</si>
  <si>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</si>
  <si>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</si>
  <si>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</si>
  <si>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</si>
  <si>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</si>
  <si>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</si>
  <si>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</si>
  <si>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</si>
  <si>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</si>
  <si>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</si>
  <si>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</si>
  <si>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</si>
  <si>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</si>
  <si>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</si>
  <si>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</si>
  <si>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</si>
  <si>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</si>
  <si>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</si>
  <si>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</si>
  <si>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</si>
  <si>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</si>
  <si>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</si>
  <si>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</si>
  <si>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</si>
  <si>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</si>
  <si>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</si>
  <si>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</si>
  <si>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</si>
  <si>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</si>
  <si>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</si>
  <si>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</si>
  <si>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</si>
  <si>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</si>
  <si>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</si>
  <si>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</si>
  <si>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</si>
  <si>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</si>
  <si>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</si>
  <si>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</si>
  <si>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</si>
  <si>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</si>
  <si>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</si>
  <si>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</si>
  <si>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</si>
  <si>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</si>
  <si>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</si>
  <si>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</si>
  <si>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</si>
  <si>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</si>
  <si>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</si>
  <si>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</si>
  <si>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</si>
  <si>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</si>
  <si>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</si>
  <si>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</si>
  <si>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</si>
  <si>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</si>
  <si>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</si>
  <si>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</si>
  <si>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</si>
  <si>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</si>
  <si>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</si>
  <si>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</si>
  <si>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</si>
  <si>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</si>
  <si>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</si>
  <si>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</si>
  <si>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Variáveis do sistema</t>
  </si>
  <si>
    <t>Definições</t>
  </si>
  <si>
    <t>Valor líquido desejado por aula pelo professor</t>
  </si>
  <si>
    <t>Va</t>
  </si>
  <si>
    <t>Fee da CoWorkout/aula (definido pelo plano)</t>
  </si>
  <si>
    <t>Fa</t>
  </si>
  <si>
    <t>(definido no início do ciclo mensal com base na agenda ativa do mês)</t>
  </si>
  <si>
    <t>Total de aula dadas/professor/mês (somando todos os alunos)</t>
  </si>
  <si>
    <t>Nm</t>
  </si>
  <si>
    <t>Valor total pago por um aluno/mês</t>
  </si>
  <si>
    <t>Vi</t>
  </si>
  <si>
    <t>Número de aulas desse aluno/mês</t>
  </si>
  <si>
    <t>Ai</t>
  </si>
  <si>
    <t>Fee total da CoWorkout referente a esse aluno</t>
  </si>
  <si>
    <t>Fi</t>
  </si>
  <si>
    <t>Repasse líquido do professor por aluno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</si>
  <si>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</si>
  <si>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</si>
  <si>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</si>
  <si>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</si>
  <si>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</si>
  <si>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</si>
  <si>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</si>
  <si>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</si>
  <si>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</si>
  <si>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</si>
  <si>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</si>
  <si>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</si>
  <si>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</si>
  <si>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</si>
  <si>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</si>
  <si>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</si>
  <si>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</si>
  <si>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Cartão 2034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</si>
  <si>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</si>
  <si>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</si>
  <si>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</si>
  <si>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</si>
  <si>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</si>
  <si>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</si>
  <si>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</si>
  <si>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</si>
  <si>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</si>
  <si>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</si>
  <si>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</si>
  <si>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</si>
  <si>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</si>
  <si>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</si>
  <si>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</si>
  <si>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</si>
  <si>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</si>
  <si>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</si>
  <si>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</si>
  <si>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</si>
  <si>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</si>
  <si>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</si>
  <si>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</si>
  <si>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</si>
  <si>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Investimento - Unidade 8</t>
  </si>
  <si>
    <t>Burn rate médio mensal</t>
  </si>
  <si>
    <t>Runway (meses)</t>
  </si>
  <si>
    <t>Caixa necessário</t>
  </si>
  <si>
    <t xml:space="preserve">Caixa 12 meses </t>
  </si>
  <si>
    <t>Período (meses)</t>
  </si>
  <si>
    <t>Resultado médio 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</si>
</sst>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44" fontId="5" fillId="0" borderId="1" xfId="3" applyFont="1" applyBorder="1" applyAlignment="1">
      <alignment wrapText="1"/>
    </xf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0" borderId="52" xfId="0" applyFont="1" applyBorder="1"/>
    <xf numFmtId="0" fontId="0" fillId="0" borderId="53" xfId="0" applyBorder="1"/>
    <xf numFmtId="0" fontId="0" fillId="23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0" fontId="22" fillId="25" borderId="56" xfId="0" applyFont="1" applyFill="1" applyBorder="1"/>
    <xf numFmtId="9" fontId="0" fillId="3" borderId="19" xfId="0" applyNumberFormat="1" applyFill="1" applyBorder="1"/>
    <xf numFmtId="0" fontId="0" fillId="3" borderId="2" xfId="0" applyFill="1" applyBorder="1"/>
    <xf numFmtId="0" fontId="0" fillId="3" borderId="20" xfId="0" applyFill="1" applyBorder="1"/>
    <xf numFmtId="44" fontId="0" fillId="0" borderId="22" xfId="3" applyFont="1" applyBorder="1"/>
    <xf numFmtId="44" fontId="0" fillId="0" borderId="23" xfId="3" applyFont="1" applyBorder="1"/>
    <xf numFmtId="9" fontId="0" fillId="3" borderId="21" xfId="0" applyNumberFormat="1" applyFill="1" applyBorder="1"/>
    <xf numFmtId="0" fontId="0" fillId="3" borderId="22" xfId="0" applyFill="1" applyBorder="1"/>
    <xf numFmtId="0" fontId="0" fillId="3" borderId="23" xfId="0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19" xfId="0" applyNumberFormat="1" applyBorder="1"/>
    <xf numFmtId="9" fontId="0" fillId="0" borderId="21" xfId="0" applyNumberForma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169" fontId="0" fillId="0" borderId="23" xfId="2" applyNumberFormat="1" applyFon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7" fillId="0" borderId="0" xfId="0" applyNumberFormat="1" applyFont="1"/>
    <xf numFmtId="44" fontId="0" fillId="5" borderId="0" xfId="3" applyFont="1" applyFill="1"/>
    <xf numFmtId="0" fontId="22" fillId="10" borderId="0" xfId="0" applyFont="1" applyFill="1"/>
    <xf numFmtId="43" fontId="0" fillId="0" borderId="23" xfId="0" applyNumberFormat="1" applyBorder="1"/>
    <xf numFmtId="4" fontId="0" fillId="0" borderId="23" xfId="0" applyNumberFormat="1" applyBorder="1"/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44" fontId="0" fillId="7" borderId="15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44" fontId="0" fillId="5" borderId="15" xfId="3" applyFont="1" applyFill="1" applyBorder="1" applyAlignment="1">
      <alignment horizontal="center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22" fillId="8" borderId="0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166" fontId="0" fillId="7" borderId="1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44" fontId="22" fillId="8" borderId="15" xfId="3" applyFont="1" applyFill="1" applyBorder="1" applyAlignment="1">
      <alignment horizontal="right"/>
    </xf>
    <xf numFmtId="44" fontId="15" fillId="8" borderId="15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22" fillId="13" borderId="14" xfId="0" applyFont="1" applyFill="1" applyBorder="1" applyAlignment="1">
      <alignment horizontal="center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0" applyNumberForma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166" fontId="0" fillId="7" borderId="0" xfId="0" applyNumberFormat="1" applyFill="1" applyAlignment="1">
      <alignment horizontal="right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166" fontId="15" fillId="8" borderId="15" xfId="0" applyNumberFormat="1" applyFont="1" applyFill="1" applyBorder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0" fillId="0" borderId="2" xfId="3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3" fillId="0" borderId="2" xfId="3" applyNumberFormat="1" applyFont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H1003"/>
  <sheetViews>
    <sheetView tabSelected="1" topLeftCell="BH1" zoomScale="80" zoomScaleNormal="80" workbookViewId="0">
      <selection activeCell="BH16" sqref="BH16:BS16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</cols>
  <sheetData>
    <row r="1" spans="1:86" ht="26.25" thickBot="1">
      <c r="A1" s="1" t="s">
        <v>0</v>
      </c>
      <c r="B1" s="2" t="s">
        <v>1</v>
      </c>
      <c r="C1" s="3">
        <v>47849</v>
      </c>
      <c r="D1" s="3">
        <v>47880</v>
      </c>
      <c r="E1" s="3">
        <v>47908</v>
      </c>
      <c r="F1" s="3">
        <v>47939</v>
      </c>
      <c r="G1" s="3">
        <v>47969</v>
      </c>
      <c r="H1" s="3">
        <v>48000</v>
      </c>
      <c r="I1" s="3">
        <v>48030</v>
      </c>
      <c r="J1" s="3">
        <v>48061</v>
      </c>
      <c r="K1" s="3">
        <v>48092</v>
      </c>
      <c r="L1" s="3">
        <v>48122</v>
      </c>
      <c r="M1" s="3">
        <v>48153</v>
      </c>
      <c r="N1" s="3">
        <v>48183</v>
      </c>
      <c r="O1" s="3"/>
      <c r="P1" s="3"/>
      <c r="Q1" s="3"/>
      <c r="R1" s="3"/>
      <c r="S1" s="3"/>
      <c r="T1" s="4" t="s">
        <v>2</v>
      </c>
      <c r="U1" s="3">
        <v>48214</v>
      </c>
      <c r="V1" s="3">
        <v>48245</v>
      </c>
      <c r="W1" s="3">
        <v>48274</v>
      </c>
      <c r="X1" s="3">
        <v>48305</v>
      </c>
      <c r="Y1" s="3">
        <v>48335</v>
      </c>
      <c r="Z1" s="3">
        <v>48366</v>
      </c>
      <c r="AA1" s="3">
        <v>48396</v>
      </c>
      <c r="AB1" s="3">
        <v>48427</v>
      </c>
      <c r="AC1" s="3">
        <v>48458</v>
      </c>
      <c r="AD1" s="3">
        <v>48488</v>
      </c>
      <c r="AE1" s="3">
        <v>48519</v>
      </c>
      <c r="AF1" s="3">
        <v>48549</v>
      </c>
      <c r="AG1" s="4" t="s">
        <v>3</v>
      </c>
      <c r="AH1" s="3">
        <v>48580</v>
      </c>
      <c r="AI1" s="3">
        <v>48611</v>
      </c>
      <c r="AJ1" s="3">
        <v>48639</v>
      </c>
      <c r="AK1" s="3">
        <v>48670</v>
      </c>
      <c r="AL1" s="3">
        <v>48700</v>
      </c>
      <c r="AM1" s="3">
        <v>48731</v>
      </c>
      <c r="AN1" s="3">
        <v>48761</v>
      </c>
      <c r="AO1" s="3">
        <v>48792</v>
      </c>
      <c r="AP1" s="3">
        <v>48823</v>
      </c>
      <c r="AQ1" s="3">
        <v>48853</v>
      </c>
      <c r="AR1" s="3">
        <v>48884</v>
      </c>
      <c r="AS1" s="3">
        <v>48914</v>
      </c>
      <c r="AT1" s="4" t="s">
        <v>198</v>
      </c>
      <c r="AU1" s="3">
        <v>48945</v>
      </c>
      <c r="AV1" s="3">
        <v>48976</v>
      </c>
      <c r="AW1" s="3">
        <v>49004</v>
      </c>
      <c r="AX1" s="3">
        <v>49035</v>
      </c>
      <c r="AY1" s="3">
        <v>49065</v>
      </c>
      <c r="AZ1" s="3">
        <v>49096</v>
      </c>
      <c r="BA1" s="3">
        <v>49126</v>
      </c>
      <c r="BB1" s="3">
        <v>49157</v>
      </c>
      <c r="BC1" s="3">
        <v>49188</v>
      </c>
      <c r="BD1" s="3">
        <v>49218</v>
      </c>
      <c r="BE1" s="3">
        <v>49249</v>
      </c>
      <c r="BF1" s="3">
        <v>49279</v>
      </c>
      <c r="BG1" s="4" t="s">
        <v>389</v>
      </c>
      <c r="BH1" s="3">
        <v>49310</v>
      </c>
      <c r="BI1" s="3">
        <v>49341</v>
      </c>
      <c r="BJ1" s="3">
        <v>49369</v>
      </c>
      <c r="BK1" s="3">
        <v>49400</v>
      </c>
      <c r="BL1" s="3">
        <v>49430</v>
      </c>
      <c r="BM1" s="3">
        <v>49461</v>
      </c>
      <c r="BN1" s="3">
        <v>49491</v>
      </c>
      <c r="BO1" s="3">
        <v>49522</v>
      </c>
      <c r="BP1" s="3">
        <v>49553</v>
      </c>
      <c r="BQ1" s="3">
        <v>49583</v>
      </c>
      <c r="BR1" s="3">
        <v>49614</v>
      </c>
      <c r="BS1" s="3">
        <v>49644</v>
      </c>
      <c r="BT1" s="4" t="s">
        <v>390</v>
      </c>
      <c r="BU1" s="3">
        <v>49675</v>
      </c>
      <c r="BV1" s="3">
        <v>49706</v>
      </c>
      <c r="BW1" s="3">
        <v>49735</v>
      </c>
      <c r="BX1" s="3">
        <v>49766</v>
      </c>
      <c r="BY1" s="3">
        <v>49796</v>
      </c>
      <c r="BZ1" s="3">
        <v>49827</v>
      </c>
      <c r="CA1" s="3">
        <v>49857</v>
      </c>
      <c r="CB1" s="3">
        <v>49888</v>
      </c>
      <c r="CC1" s="3">
        <v>49919</v>
      </c>
      <c r="CD1" s="3">
        <v>49949</v>
      </c>
      <c r="CE1" s="3">
        <v>49980</v>
      </c>
      <c r="CF1" s="3">
        <v>50010</v>
      </c>
      <c r="CG1" s="4" t="s">
        <v>391</v>
      </c>
      <c r="CH1" s="332" t="s">
        <v>608</v>
      </c>
    </row>
    <row r="2" spans="1:86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N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>L2</f>
        <v>26432.749999999996</v>
      </c>
      <c r="N2" s="7">
        <f t="shared" si="0"/>
        <v>26432.749999999996</v>
      </c>
      <c r="O2" s="7"/>
      <c r="P2" s="7"/>
      <c r="Q2" s="7"/>
      <c r="R2" s="7"/>
      <c r="S2" s="7"/>
      <c r="T2" s="8">
        <f>SUM(F2:S2)</f>
        <v>192390.6875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855653.1875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1916873.1875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3243398.1875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4835228.1875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6692363.1875</v>
      </c>
    </row>
    <row r="3" spans="1:86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86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6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6">E2-E8</f>
        <v>-789410.25999999989</v>
      </c>
      <c r="F5" s="25">
        <f>F2-F8</f>
        <v>-29114.983125000002</v>
      </c>
      <c r="G5" s="25">
        <f t="shared" si="6"/>
        <v>-26808.399375000001</v>
      </c>
      <c r="H5" s="25">
        <f>H2-H8</f>
        <v>-7416.5612500000025</v>
      </c>
      <c r="I5" s="25">
        <f t="shared" ref="I5:N5" si="7">I2-I8</f>
        <v>-7416.5612500000025</v>
      </c>
      <c r="J5" s="25">
        <f t="shared" si="7"/>
        <v>-7416.5612500000025</v>
      </c>
      <c r="K5" s="25">
        <f t="shared" si="7"/>
        <v>-7416.5612500000025</v>
      </c>
      <c r="L5" s="25">
        <f t="shared" si="7"/>
        <v>-7716.5612500000025</v>
      </c>
      <c r="M5" s="25">
        <f t="shared" si="7"/>
        <v>-7716.5612500000025</v>
      </c>
      <c r="N5" s="25">
        <f t="shared" si="7"/>
        <v>-7716.5612500000025</v>
      </c>
      <c r="O5" s="25"/>
      <c r="P5" s="25"/>
      <c r="Q5" s="25"/>
      <c r="R5" s="25"/>
      <c r="S5" s="25"/>
      <c r="T5" s="8">
        <f>SUM(C5:S5)</f>
        <v>-936149.57125000015</v>
      </c>
      <c r="U5" s="25">
        <f>U2-U8</f>
        <v>15050.346874999988</v>
      </c>
      <c r="V5" s="25">
        <f t="shared" ref="V5:AF5" si="8">V2-V8</f>
        <v>15050.346874999988</v>
      </c>
      <c r="W5" s="25">
        <f t="shared" si="8"/>
        <v>9340.7621874999895</v>
      </c>
      <c r="X5" s="25">
        <f t="shared" si="8"/>
        <v>9340.7621874999895</v>
      </c>
      <c r="Y5" s="25">
        <f t="shared" si="8"/>
        <v>9340.7621874999895</v>
      </c>
      <c r="Z5" s="25">
        <f t="shared" si="8"/>
        <v>9340.7621874999895</v>
      </c>
      <c r="AA5" s="25">
        <f t="shared" si="8"/>
        <v>9340.7621874999895</v>
      </c>
      <c r="AB5" s="25">
        <f t="shared" si="8"/>
        <v>9340.7621874999895</v>
      </c>
      <c r="AC5" s="25">
        <f t="shared" si="8"/>
        <v>9340.7621874999895</v>
      </c>
      <c r="AD5" s="25">
        <f t="shared" si="8"/>
        <v>9340.7621874999895</v>
      </c>
      <c r="AE5" s="25">
        <f t="shared" si="8"/>
        <v>9340.7621874999895</v>
      </c>
      <c r="AF5" s="25">
        <f t="shared" si="8"/>
        <v>9340.7621874999895</v>
      </c>
      <c r="AG5" s="8">
        <f>SUM(T5:AF5)</f>
        <v>-812641.25562499999</v>
      </c>
      <c r="AH5" s="25">
        <f>AH2-AH8</f>
        <v>32228.109499999991</v>
      </c>
      <c r="AI5" s="25">
        <f t="shared" ref="AI5:AS5" si="9">AI2-AI8</f>
        <v>32228.109499999991</v>
      </c>
      <c r="AJ5" s="25">
        <f t="shared" si="9"/>
        <v>32228.109499999991</v>
      </c>
      <c r="AK5" s="25">
        <f t="shared" si="9"/>
        <v>32228.109499999991</v>
      </c>
      <c r="AL5" s="25">
        <f t="shared" si="9"/>
        <v>32228.109499999991</v>
      </c>
      <c r="AM5" s="25">
        <f t="shared" si="9"/>
        <v>32228.109499999991</v>
      </c>
      <c r="AN5" s="25">
        <f t="shared" si="9"/>
        <v>32228.109499999991</v>
      </c>
      <c r="AO5" s="25">
        <f t="shared" si="9"/>
        <v>32228.109499999991</v>
      </c>
      <c r="AP5" s="25">
        <f t="shared" si="9"/>
        <v>32228.109499999991</v>
      </c>
      <c r="AQ5" s="25">
        <f t="shared" si="9"/>
        <v>32228.109499999991</v>
      </c>
      <c r="AR5" s="25">
        <f t="shared" si="9"/>
        <v>32228.109499999991</v>
      </c>
      <c r="AS5" s="25">
        <f t="shared" si="9"/>
        <v>32228.109499999991</v>
      </c>
      <c r="AT5" s="8">
        <f>SUM(AG5:AS5)</f>
        <v>-425903.94162499974</v>
      </c>
      <c r="AU5" s="25">
        <f>AU2-AU8</f>
        <v>46174.731374999974</v>
      </c>
      <c r="AV5" s="25">
        <f t="shared" ref="AV5:BF5" si="10">AV2-AV8</f>
        <v>46174.731374999974</v>
      </c>
      <c r="AW5" s="25">
        <f t="shared" si="10"/>
        <v>46174.731374999974</v>
      </c>
      <c r="AX5" s="25">
        <f t="shared" si="10"/>
        <v>46174.731374999974</v>
      </c>
      <c r="AY5" s="25">
        <f t="shared" si="10"/>
        <v>46174.731374999974</v>
      </c>
      <c r="AZ5" s="25">
        <f t="shared" si="10"/>
        <v>46174.731374999974</v>
      </c>
      <c r="BA5" s="25">
        <f t="shared" si="10"/>
        <v>46174.731374999974</v>
      </c>
      <c r="BB5" s="25">
        <f t="shared" si="10"/>
        <v>46174.731374999974</v>
      </c>
      <c r="BC5" s="25">
        <f t="shared" si="10"/>
        <v>46174.731374999974</v>
      </c>
      <c r="BD5" s="25">
        <f t="shared" si="10"/>
        <v>46174.731374999974</v>
      </c>
      <c r="BE5" s="25">
        <f t="shared" si="10"/>
        <v>46174.731374999974</v>
      </c>
      <c r="BF5" s="25">
        <f t="shared" si="10"/>
        <v>46174.731374999974</v>
      </c>
      <c r="BG5" s="8">
        <f>SUM(AT5:BF5)</f>
        <v>128192.83487499994</v>
      </c>
      <c r="BH5" s="25">
        <f>BH2-BH8</f>
        <v>59785.976949999967</v>
      </c>
      <c r="BI5" s="25">
        <f t="shared" ref="BI5:BS5" si="11">BI2-BI8</f>
        <v>59785.976949999967</v>
      </c>
      <c r="BJ5" s="25">
        <f t="shared" si="11"/>
        <v>59785.976949999967</v>
      </c>
      <c r="BK5" s="25">
        <f t="shared" si="11"/>
        <v>59785.976949999967</v>
      </c>
      <c r="BL5" s="25">
        <f t="shared" si="11"/>
        <v>59785.976949999967</v>
      </c>
      <c r="BM5" s="25">
        <f t="shared" si="11"/>
        <v>59785.976949999967</v>
      </c>
      <c r="BN5" s="25">
        <f t="shared" si="11"/>
        <v>59785.976949999967</v>
      </c>
      <c r="BO5" s="25">
        <f t="shared" si="11"/>
        <v>59785.976949999967</v>
      </c>
      <c r="BP5" s="25">
        <f t="shared" si="11"/>
        <v>59785.976949999967</v>
      </c>
      <c r="BQ5" s="25">
        <f t="shared" si="11"/>
        <v>59785.976949999967</v>
      </c>
      <c r="BR5" s="25">
        <f t="shared" si="11"/>
        <v>59785.976949999967</v>
      </c>
      <c r="BS5" s="25">
        <f t="shared" si="11"/>
        <v>59785.976949999967</v>
      </c>
      <c r="BT5" s="8">
        <f>SUM(BG5:BS5)</f>
        <v>845624.55827499938</v>
      </c>
      <c r="BU5" s="25">
        <f>BU2-BU8</f>
        <v>73036.288594999962</v>
      </c>
      <c r="BV5" s="25">
        <f t="shared" ref="BV5:CE5" si="12">BV2-BV8</f>
        <v>73036.288594999962</v>
      </c>
      <c r="BW5" s="25">
        <f t="shared" si="12"/>
        <v>73036.288594999962</v>
      </c>
      <c r="BX5" s="25">
        <f t="shared" si="12"/>
        <v>73036.288594999962</v>
      </c>
      <c r="BY5" s="25">
        <f t="shared" si="12"/>
        <v>73036.288594999962</v>
      </c>
      <c r="BZ5" s="25">
        <f t="shared" si="12"/>
        <v>73036.288594999962</v>
      </c>
      <c r="CA5" s="25">
        <f t="shared" si="12"/>
        <v>73036.288594999962</v>
      </c>
      <c r="CB5" s="25">
        <f t="shared" si="12"/>
        <v>73036.288594999962</v>
      </c>
      <c r="CC5" s="25">
        <f t="shared" si="12"/>
        <v>73036.288594999962</v>
      </c>
      <c r="CD5" s="25">
        <f t="shared" si="12"/>
        <v>73036.288594999962</v>
      </c>
      <c r="CE5" s="25">
        <f t="shared" si="12"/>
        <v>73036.288594999962</v>
      </c>
      <c r="CF5" s="25">
        <f>CF2-CF8</f>
        <v>73036.288594999962</v>
      </c>
      <c r="CG5" s="8">
        <f>SUM(BT5:CF5)</f>
        <v>1722060.0214149996</v>
      </c>
      <c r="CH5" s="333">
        <f>'Custo investimento '!D31</f>
        <v>652609.33370499965</v>
      </c>
    </row>
    <row r="6" spans="1:86" ht="15" thickBot="1">
      <c r="A6" s="5"/>
      <c r="B6" s="19" t="s">
        <v>588</v>
      </c>
      <c r="D6" s="5"/>
      <c r="E6" s="5"/>
      <c r="F6" s="309">
        <f>F5/F2</f>
        <v>-11.865202873080158</v>
      </c>
      <c r="G6" s="309">
        <f>G5/G2</f>
        <v>-5.4626014365400781</v>
      </c>
      <c r="H6" s="43">
        <f>H5/H2</f>
        <v>-0.28058227955850235</v>
      </c>
      <c r="I6" s="43">
        <f>I5/I2</f>
        <v>-0.28058227955850235</v>
      </c>
      <c r="J6" s="43">
        <f>J5/J2</f>
        <v>-0.28058227955850235</v>
      </c>
      <c r="K6" s="43">
        <f t="shared" ref="K6:N6" si="13">K5/K2</f>
        <v>-0.28058227955850235</v>
      </c>
      <c r="L6" s="43">
        <f t="shared" si="13"/>
        <v>-0.29193183645288528</v>
      </c>
      <c r="M6" s="43">
        <f t="shared" si="13"/>
        <v>-0.29193183645288528</v>
      </c>
      <c r="N6" s="43">
        <f t="shared" si="13"/>
        <v>-0.29193183645288528</v>
      </c>
      <c r="O6" s="43"/>
      <c r="P6" s="43"/>
      <c r="Q6" s="43"/>
      <c r="R6" s="43"/>
      <c r="S6" s="43"/>
      <c r="T6" s="5"/>
      <c r="U6" s="43">
        <f t="shared" ref="U6:AF6" si="14">U5/U2</f>
        <v>0.27229665856278606</v>
      </c>
      <c r="V6" s="43">
        <f t="shared" si="14"/>
        <v>0.27229665856278606</v>
      </c>
      <c r="W6" s="43">
        <f t="shared" si="14"/>
        <v>0.16899665856278606</v>
      </c>
      <c r="X6" s="43">
        <f t="shared" si="14"/>
        <v>0.16899665856278606</v>
      </c>
      <c r="Y6" s="43">
        <f t="shared" si="14"/>
        <v>0.16899665856278606</v>
      </c>
      <c r="Z6" s="43">
        <f t="shared" si="14"/>
        <v>0.16899665856278606</v>
      </c>
      <c r="AA6" s="43">
        <f t="shared" si="14"/>
        <v>0.16899665856278606</v>
      </c>
      <c r="AB6" s="43">
        <f t="shared" si="14"/>
        <v>0.16899665856278606</v>
      </c>
      <c r="AC6" s="43">
        <f t="shared" si="14"/>
        <v>0.16899665856278606</v>
      </c>
      <c r="AD6" s="43">
        <f t="shared" si="14"/>
        <v>0.16899665856278606</v>
      </c>
      <c r="AE6" s="43">
        <f t="shared" si="14"/>
        <v>0.16899665856278606</v>
      </c>
      <c r="AF6" s="43">
        <f t="shared" si="14"/>
        <v>0.16899665856278606</v>
      </c>
      <c r="AG6" s="5"/>
      <c r="AH6" s="43">
        <f t="shared" ref="AH6:AS6" si="15">AH5/AH2</f>
        <v>0.36442708769152476</v>
      </c>
      <c r="AI6" s="43">
        <f t="shared" si="15"/>
        <v>0.36442708769152476</v>
      </c>
      <c r="AJ6" s="43">
        <f t="shared" si="15"/>
        <v>0.36442708769152476</v>
      </c>
      <c r="AK6" s="43">
        <f t="shared" si="15"/>
        <v>0.36442708769152476</v>
      </c>
      <c r="AL6" s="43">
        <f t="shared" si="15"/>
        <v>0.36442708769152476</v>
      </c>
      <c r="AM6" s="43">
        <f t="shared" si="15"/>
        <v>0.36442708769152476</v>
      </c>
      <c r="AN6" s="43">
        <f t="shared" si="15"/>
        <v>0.36442708769152476</v>
      </c>
      <c r="AO6" s="43">
        <f t="shared" si="15"/>
        <v>0.36442708769152476</v>
      </c>
      <c r="AP6" s="43">
        <f t="shared" si="15"/>
        <v>0.36442708769152476</v>
      </c>
      <c r="AQ6" s="43">
        <f t="shared" si="15"/>
        <v>0.36442708769152476</v>
      </c>
      <c r="AR6" s="43">
        <f t="shared" si="15"/>
        <v>0.36442708769152476</v>
      </c>
      <c r="AS6" s="43">
        <f t="shared" si="15"/>
        <v>0.36442708769152476</v>
      </c>
      <c r="AU6" s="43">
        <f t="shared" ref="AU6:BF6" si="16">AU5/AU2</f>
        <v>0.41770549103861576</v>
      </c>
      <c r="AV6" s="43">
        <f t="shared" si="16"/>
        <v>0.41770549103861576</v>
      </c>
      <c r="AW6" s="43">
        <f t="shared" si="16"/>
        <v>0.41770549103861576</v>
      </c>
      <c r="AX6" s="43">
        <f t="shared" si="16"/>
        <v>0.41770549103861576</v>
      </c>
      <c r="AY6" s="43">
        <f t="shared" si="16"/>
        <v>0.41770549103861576</v>
      </c>
      <c r="AZ6" s="43">
        <f t="shared" si="16"/>
        <v>0.41770549103861576</v>
      </c>
      <c r="BA6" s="43">
        <f t="shared" si="16"/>
        <v>0.41770549103861576</v>
      </c>
      <c r="BB6" s="43">
        <f t="shared" si="16"/>
        <v>0.41770549103861576</v>
      </c>
      <c r="BC6" s="43">
        <f t="shared" si="16"/>
        <v>0.41770549103861576</v>
      </c>
      <c r="BD6" s="43">
        <f t="shared" si="16"/>
        <v>0.41770549103861576</v>
      </c>
      <c r="BE6" s="43">
        <f t="shared" si="16"/>
        <v>0.41770549103861576</v>
      </c>
      <c r="BF6" s="43">
        <f t="shared" si="16"/>
        <v>0.41770549103861576</v>
      </c>
      <c r="BH6" s="43">
        <f t="shared" ref="BH6:BS6" si="17">BH5/BH2</f>
        <v>0.45069619456851534</v>
      </c>
      <c r="BI6" s="43">
        <f t="shared" si="17"/>
        <v>0.45069619456851534</v>
      </c>
      <c r="BJ6" s="43">
        <f t="shared" si="17"/>
        <v>0.45069619456851534</v>
      </c>
      <c r="BK6" s="43">
        <f t="shared" si="17"/>
        <v>0.45069619456851534</v>
      </c>
      <c r="BL6" s="43">
        <f t="shared" si="17"/>
        <v>0.45069619456851534</v>
      </c>
      <c r="BM6" s="43">
        <f t="shared" si="17"/>
        <v>0.45069619456851534</v>
      </c>
      <c r="BN6" s="43">
        <f t="shared" si="17"/>
        <v>0.45069619456851534</v>
      </c>
      <c r="BO6" s="43">
        <f t="shared" si="17"/>
        <v>0.45069619456851534</v>
      </c>
      <c r="BP6" s="43">
        <f t="shared" si="17"/>
        <v>0.45069619456851534</v>
      </c>
      <c r="BQ6" s="43">
        <f t="shared" si="17"/>
        <v>0.45069619456851534</v>
      </c>
      <c r="BR6" s="43">
        <f t="shared" si="17"/>
        <v>0.45069619456851534</v>
      </c>
      <c r="BS6" s="43">
        <f t="shared" si="17"/>
        <v>0.45069619456851534</v>
      </c>
      <c r="BU6" s="43">
        <f t="shared" ref="BU6:CE6" si="18">BU5/BU2</f>
        <v>0.47192878446639563</v>
      </c>
      <c r="BV6" s="43">
        <f t="shared" si="18"/>
        <v>0.47192878446639563</v>
      </c>
      <c r="BW6" s="43">
        <f t="shared" si="18"/>
        <v>0.47192878446639563</v>
      </c>
      <c r="BX6" s="43">
        <f t="shared" si="18"/>
        <v>0.47192878446639563</v>
      </c>
      <c r="BY6" s="43">
        <f t="shared" si="18"/>
        <v>0.47192878446639563</v>
      </c>
      <c r="BZ6" s="43">
        <f t="shared" si="18"/>
        <v>0.47192878446639563</v>
      </c>
      <c r="CA6" s="43">
        <f t="shared" si="18"/>
        <v>0.47192878446639563</v>
      </c>
      <c r="CB6" s="43">
        <f t="shared" si="18"/>
        <v>0.47192878446639563</v>
      </c>
      <c r="CC6" s="43">
        <f t="shared" si="18"/>
        <v>0.47192878446639563</v>
      </c>
      <c r="CD6" s="43">
        <f t="shared" si="18"/>
        <v>0.47192878446639563</v>
      </c>
      <c r="CE6" s="43">
        <f t="shared" si="18"/>
        <v>0.47192878446639563</v>
      </c>
      <c r="CF6" s="43">
        <f>CF5/CF2</f>
        <v>0.47192878446639563</v>
      </c>
    </row>
    <row r="7" spans="1:86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6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N8" si="19">E10+E53</f>
        <v>789410.25999999989</v>
      </c>
      <c r="F8" s="17">
        <f t="shared" si="19"/>
        <v>31568.795625000002</v>
      </c>
      <c r="G8" s="17">
        <f t="shared" si="19"/>
        <v>31716.024375000001</v>
      </c>
      <c r="H8" s="17">
        <f t="shared" si="19"/>
        <v>33849.311249999999</v>
      </c>
      <c r="I8" s="17">
        <f t="shared" si="19"/>
        <v>33849.311249999999</v>
      </c>
      <c r="J8" s="17">
        <f t="shared" si="19"/>
        <v>33849.311249999999</v>
      </c>
      <c r="K8" s="17">
        <f t="shared" si="19"/>
        <v>33849.311249999999</v>
      </c>
      <c r="L8" s="17">
        <f t="shared" si="19"/>
        <v>34149.311249999999</v>
      </c>
      <c r="M8" s="17">
        <f t="shared" si="19"/>
        <v>34149.311249999999</v>
      </c>
      <c r="N8" s="17">
        <f t="shared" si="19"/>
        <v>34149.311249999999</v>
      </c>
      <c r="O8" s="17"/>
      <c r="P8" s="17"/>
      <c r="Q8" s="17"/>
      <c r="R8" s="17"/>
      <c r="S8" s="17"/>
      <c r="T8" s="5"/>
      <c r="U8" s="17">
        <f t="shared" ref="U8:AF8" si="20">U10+U53</f>
        <v>40221.528125000004</v>
      </c>
      <c r="V8" s="17">
        <f t="shared" si="20"/>
        <v>40221.528125000004</v>
      </c>
      <c r="W8" s="17">
        <f t="shared" si="20"/>
        <v>45931.112812500003</v>
      </c>
      <c r="X8" s="17">
        <f t="shared" si="20"/>
        <v>45931.112812500003</v>
      </c>
      <c r="Y8" s="17">
        <f t="shared" si="20"/>
        <v>45931.112812500003</v>
      </c>
      <c r="Z8" s="17">
        <f t="shared" si="20"/>
        <v>45931.112812500003</v>
      </c>
      <c r="AA8" s="17">
        <f t="shared" si="20"/>
        <v>45931.112812500003</v>
      </c>
      <c r="AB8" s="17">
        <f t="shared" si="20"/>
        <v>45931.112812500003</v>
      </c>
      <c r="AC8" s="17">
        <f t="shared" si="20"/>
        <v>45931.112812500003</v>
      </c>
      <c r="AD8" s="17">
        <f t="shared" si="20"/>
        <v>45931.112812500003</v>
      </c>
      <c r="AE8" s="17">
        <f t="shared" si="20"/>
        <v>45931.112812500003</v>
      </c>
      <c r="AF8" s="17">
        <f t="shared" si="20"/>
        <v>45931.112812500003</v>
      </c>
      <c r="AG8" s="5"/>
      <c r="AH8" s="17">
        <f t="shared" ref="AH8:AS8" si="21">AH10+AH53</f>
        <v>56206.890500000009</v>
      </c>
      <c r="AI8" s="17">
        <f t="shared" si="21"/>
        <v>56206.890500000009</v>
      </c>
      <c r="AJ8" s="17">
        <f t="shared" si="21"/>
        <v>56206.890500000009</v>
      </c>
      <c r="AK8" s="17">
        <f t="shared" si="21"/>
        <v>56206.890500000009</v>
      </c>
      <c r="AL8" s="17">
        <f t="shared" si="21"/>
        <v>56206.890500000009</v>
      </c>
      <c r="AM8" s="17">
        <f t="shared" si="21"/>
        <v>56206.890500000009</v>
      </c>
      <c r="AN8" s="17">
        <f t="shared" si="21"/>
        <v>56206.890500000009</v>
      </c>
      <c r="AO8" s="17">
        <f t="shared" si="21"/>
        <v>56206.890500000009</v>
      </c>
      <c r="AP8" s="17">
        <f t="shared" si="21"/>
        <v>56206.890500000009</v>
      </c>
      <c r="AQ8" s="17">
        <f t="shared" si="21"/>
        <v>56206.890500000009</v>
      </c>
      <c r="AR8" s="17">
        <f t="shared" si="21"/>
        <v>56206.890500000009</v>
      </c>
      <c r="AS8" s="17">
        <f t="shared" si="21"/>
        <v>56206.890500000009</v>
      </c>
      <c r="AU8" s="17">
        <f t="shared" ref="AU8:BF8" si="22">AU10+AU53</f>
        <v>64369.018625000012</v>
      </c>
      <c r="AV8" s="17">
        <f t="shared" si="22"/>
        <v>64369.018625000012</v>
      </c>
      <c r="AW8" s="17">
        <f t="shared" si="22"/>
        <v>64369.018625000012</v>
      </c>
      <c r="AX8" s="17">
        <f t="shared" si="22"/>
        <v>64369.018625000012</v>
      </c>
      <c r="AY8" s="17">
        <f t="shared" si="22"/>
        <v>64369.018625000012</v>
      </c>
      <c r="AZ8" s="17">
        <f t="shared" si="22"/>
        <v>64369.018625000012</v>
      </c>
      <c r="BA8" s="17">
        <f t="shared" si="22"/>
        <v>64369.018625000012</v>
      </c>
      <c r="BB8" s="17">
        <f t="shared" si="22"/>
        <v>64369.018625000012</v>
      </c>
      <c r="BC8" s="17">
        <f t="shared" si="22"/>
        <v>64369.018625000012</v>
      </c>
      <c r="BD8" s="17">
        <f t="shared" si="22"/>
        <v>64369.018625000012</v>
      </c>
      <c r="BE8" s="17">
        <f t="shared" si="22"/>
        <v>64369.018625000012</v>
      </c>
      <c r="BF8" s="17">
        <f t="shared" si="22"/>
        <v>64369.018625000012</v>
      </c>
      <c r="BH8" s="17">
        <f t="shared" ref="BH8:BS8" si="23">BH10+BH53</f>
        <v>72866.523050000003</v>
      </c>
      <c r="BI8" s="17">
        <f t="shared" si="23"/>
        <v>72866.523050000003</v>
      </c>
      <c r="BJ8" s="17">
        <f t="shared" si="23"/>
        <v>72866.523050000003</v>
      </c>
      <c r="BK8" s="17">
        <f t="shared" si="23"/>
        <v>72866.523050000003</v>
      </c>
      <c r="BL8" s="17">
        <f t="shared" si="23"/>
        <v>72866.523050000003</v>
      </c>
      <c r="BM8" s="17">
        <f t="shared" si="23"/>
        <v>72866.523050000003</v>
      </c>
      <c r="BN8" s="17">
        <f t="shared" si="23"/>
        <v>72866.523050000003</v>
      </c>
      <c r="BO8" s="17">
        <f t="shared" si="23"/>
        <v>72866.523050000003</v>
      </c>
      <c r="BP8" s="17">
        <f t="shared" si="23"/>
        <v>72866.523050000003</v>
      </c>
      <c r="BQ8" s="17">
        <f t="shared" si="23"/>
        <v>72866.523050000003</v>
      </c>
      <c r="BR8" s="17">
        <f t="shared" si="23"/>
        <v>72866.523050000003</v>
      </c>
      <c r="BS8" s="17">
        <f t="shared" si="23"/>
        <v>72866.523050000003</v>
      </c>
      <c r="BU8" s="17">
        <f t="shared" ref="BU8:CE8" si="24">BU10+BU53</f>
        <v>81724.961405000009</v>
      </c>
      <c r="BV8" s="17">
        <f t="shared" si="24"/>
        <v>81724.961405000009</v>
      </c>
      <c r="BW8" s="17">
        <f t="shared" si="24"/>
        <v>81724.961405000009</v>
      </c>
      <c r="BX8" s="17">
        <f t="shared" si="24"/>
        <v>81724.961405000009</v>
      </c>
      <c r="BY8" s="17">
        <f t="shared" si="24"/>
        <v>81724.961405000009</v>
      </c>
      <c r="BZ8" s="17">
        <f t="shared" si="24"/>
        <v>81724.961405000009</v>
      </c>
      <c r="CA8" s="17">
        <f t="shared" si="24"/>
        <v>81724.961405000009</v>
      </c>
      <c r="CB8" s="17">
        <f t="shared" si="24"/>
        <v>81724.961405000009</v>
      </c>
      <c r="CC8" s="17">
        <f t="shared" si="24"/>
        <v>81724.961405000009</v>
      </c>
      <c r="CD8" s="17">
        <f t="shared" si="24"/>
        <v>81724.961405000009</v>
      </c>
      <c r="CE8" s="17">
        <f t="shared" si="24"/>
        <v>81724.961405000009</v>
      </c>
      <c r="CF8" s="17">
        <f>CF10+CF53</f>
        <v>81724.961405000009</v>
      </c>
    </row>
    <row r="9" spans="1:86" ht="17.25" thickBot="1">
      <c r="A9" s="16" t="s">
        <v>0</v>
      </c>
      <c r="B9" s="15" t="s">
        <v>7</v>
      </c>
      <c r="C9" s="18">
        <v>11324</v>
      </c>
      <c r="D9" s="18">
        <v>11355</v>
      </c>
      <c r="E9" s="18">
        <v>11383</v>
      </c>
      <c r="F9" s="18">
        <v>11414</v>
      </c>
      <c r="G9" s="18">
        <v>11444</v>
      </c>
      <c r="H9" s="18">
        <v>11475</v>
      </c>
      <c r="I9" s="18">
        <v>11505</v>
      </c>
      <c r="J9" s="18">
        <v>11536</v>
      </c>
      <c r="K9" s="18">
        <v>11567</v>
      </c>
      <c r="L9" s="18">
        <v>11597</v>
      </c>
      <c r="M9" s="18">
        <v>11628</v>
      </c>
      <c r="N9" s="18">
        <v>11658</v>
      </c>
      <c r="O9" s="18"/>
      <c r="P9" s="18"/>
      <c r="Q9" s="18"/>
      <c r="R9" s="18"/>
      <c r="S9" s="18"/>
      <c r="T9" s="19" t="s">
        <v>203</v>
      </c>
      <c r="U9" s="18">
        <v>48214</v>
      </c>
      <c r="V9" s="18">
        <v>48245</v>
      </c>
      <c r="W9" s="18">
        <v>48274</v>
      </c>
      <c r="X9" s="18">
        <v>48305</v>
      </c>
      <c r="Y9" s="18">
        <v>48335</v>
      </c>
      <c r="Z9" s="18">
        <v>48366</v>
      </c>
      <c r="AA9" s="18">
        <v>48396</v>
      </c>
      <c r="AB9" s="18">
        <v>48427</v>
      </c>
      <c r="AC9" s="18">
        <v>48458</v>
      </c>
      <c r="AD9" s="18">
        <v>48488</v>
      </c>
      <c r="AE9" s="18">
        <v>48519</v>
      </c>
      <c r="AF9" s="18">
        <v>48549</v>
      </c>
      <c r="AG9" s="5"/>
      <c r="AH9" s="18">
        <v>48580</v>
      </c>
      <c r="AI9" s="18">
        <v>48611</v>
      </c>
      <c r="AJ9" s="18">
        <v>48639</v>
      </c>
      <c r="AK9" s="18">
        <v>48670</v>
      </c>
      <c r="AL9" s="18">
        <v>48700</v>
      </c>
      <c r="AM9" s="18">
        <v>48731</v>
      </c>
      <c r="AN9" s="18">
        <v>48761</v>
      </c>
      <c r="AO9" s="18">
        <v>48792</v>
      </c>
      <c r="AP9" s="18">
        <v>48823</v>
      </c>
      <c r="AQ9" s="18">
        <v>48853</v>
      </c>
      <c r="AR9" s="18">
        <v>48884</v>
      </c>
      <c r="AS9" s="18">
        <v>48914</v>
      </c>
      <c r="AU9" s="18">
        <v>48945</v>
      </c>
      <c r="AV9" s="18">
        <v>48976</v>
      </c>
      <c r="AW9" s="18">
        <v>49004</v>
      </c>
      <c r="AX9" s="18">
        <v>49035</v>
      </c>
      <c r="AY9" s="18">
        <v>49065</v>
      </c>
      <c r="AZ9" s="18">
        <v>49096</v>
      </c>
      <c r="BA9" s="18">
        <v>49126</v>
      </c>
      <c r="BB9" s="18">
        <v>49157</v>
      </c>
      <c r="BC9" s="18">
        <v>49188</v>
      </c>
      <c r="BD9" s="18">
        <v>49218</v>
      </c>
      <c r="BE9" s="18">
        <v>49249</v>
      </c>
      <c r="BF9" s="18">
        <v>49279</v>
      </c>
      <c r="BH9" s="18">
        <v>49310</v>
      </c>
      <c r="BI9" s="18">
        <v>49341</v>
      </c>
      <c r="BJ9" s="18">
        <v>49369</v>
      </c>
      <c r="BK9" s="18">
        <v>49400</v>
      </c>
      <c r="BL9" s="18">
        <v>49430</v>
      </c>
      <c r="BM9" s="18">
        <v>49461</v>
      </c>
      <c r="BN9" s="18">
        <v>49491</v>
      </c>
      <c r="BO9" s="18">
        <v>49522</v>
      </c>
      <c r="BP9" s="18">
        <v>49553</v>
      </c>
      <c r="BQ9" s="18">
        <v>49583</v>
      </c>
      <c r="BR9" s="18">
        <v>49614</v>
      </c>
      <c r="BS9" s="18">
        <v>49644</v>
      </c>
      <c r="BU9" s="18">
        <v>49675</v>
      </c>
      <c r="BV9" s="18">
        <v>49706</v>
      </c>
      <c r="BW9" s="18">
        <v>49735</v>
      </c>
      <c r="BX9" s="18">
        <v>49766</v>
      </c>
      <c r="BY9" s="18">
        <v>49796</v>
      </c>
      <c r="BZ9" s="18">
        <v>49827</v>
      </c>
      <c r="CA9" s="18">
        <v>49857</v>
      </c>
      <c r="CB9" s="18">
        <v>49888</v>
      </c>
      <c r="CC9" s="18">
        <v>49919</v>
      </c>
      <c r="CD9" s="18">
        <v>49949</v>
      </c>
      <c r="CE9" s="18">
        <v>49980</v>
      </c>
      <c r="CF9" s="18">
        <v>50010</v>
      </c>
    </row>
    <row r="10" spans="1:86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 t="shared" ref="E10:G10" si="25">E11+E15+E25+E30+E33+E38+E46+E50</f>
        <v>19000</v>
      </c>
      <c r="F10" s="54">
        <f t="shared" si="25"/>
        <v>31378.766875000001</v>
      </c>
      <c r="G10" s="54">
        <f t="shared" si="25"/>
        <v>31378.766875000001</v>
      </c>
      <c r="H10" s="54">
        <f t="shared" ref="H10:N10" si="26">H11+H15+H25+H30+H33+H38+H46+H50</f>
        <v>32132.146249999998</v>
      </c>
      <c r="I10" s="54">
        <f t="shared" si="26"/>
        <v>32132.146249999998</v>
      </c>
      <c r="J10" s="54">
        <f>J11+J15+J25+J30+J33+J38+J46+J50</f>
        <v>32132.146249999998</v>
      </c>
      <c r="K10" s="54">
        <f t="shared" si="26"/>
        <v>32132.146249999998</v>
      </c>
      <c r="L10" s="54">
        <f t="shared" si="26"/>
        <v>32432.146249999998</v>
      </c>
      <c r="M10" s="54">
        <f t="shared" si="26"/>
        <v>32432.146249999998</v>
      </c>
      <c r="N10" s="54">
        <f t="shared" si="26"/>
        <v>32432.146249999998</v>
      </c>
      <c r="O10" s="54"/>
      <c r="P10" s="54"/>
      <c r="Q10" s="54"/>
      <c r="R10" s="54"/>
      <c r="S10" s="54"/>
      <c r="T10" s="55"/>
      <c r="U10" s="54">
        <f t="shared" ref="U10:AF10" si="27">U11+U15+U25+U30+U33+U38+U46+U50</f>
        <v>36662.815625000003</v>
      </c>
      <c r="V10" s="54">
        <f t="shared" si="27"/>
        <v>36662.815625000003</v>
      </c>
      <c r="W10" s="54">
        <f t="shared" si="27"/>
        <v>36662.815625000003</v>
      </c>
      <c r="X10" s="54">
        <f t="shared" si="27"/>
        <v>36662.815625000003</v>
      </c>
      <c r="Y10" s="54">
        <f t="shared" si="27"/>
        <v>36662.815625000003</v>
      </c>
      <c r="Z10" s="54">
        <f t="shared" si="27"/>
        <v>36662.815625000003</v>
      </c>
      <c r="AA10" s="54">
        <f t="shared" si="27"/>
        <v>36662.815625000003</v>
      </c>
      <c r="AB10" s="54">
        <f t="shared" si="27"/>
        <v>36662.815625000003</v>
      </c>
      <c r="AC10" s="54">
        <f t="shared" si="27"/>
        <v>36662.815625000003</v>
      </c>
      <c r="AD10" s="54">
        <f t="shared" si="27"/>
        <v>36662.815625000003</v>
      </c>
      <c r="AE10" s="54">
        <f t="shared" si="27"/>
        <v>36662.815625000003</v>
      </c>
      <c r="AF10" s="54">
        <f t="shared" si="27"/>
        <v>36662.815625000003</v>
      </c>
      <c r="AG10" s="55"/>
      <c r="AH10" s="54">
        <f t="shared" ref="AH10:AS10" si="28">AH11+AH15+AH25+AH30+AH33+AH38+AH46+AH50</f>
        <v>41392.85500000001</v>
      </c>
      <c r="AI10" s="54">
        <f t="shared" si="28"/>
        <v>41392.85500000001</v>
      </c>
      <c r="AJ10" s="54">
        <f t="shared" si="28"/>
        <v>41392.85500000001</v>
      </c>
      <c r="AK10" s="54">
        <f t="shared" si="28"/>
        <v>41392.85500000001</v>
      </c>
      <c r="AL10" s="54">
        <f t="shared" si="28"/>
        <v>41392.85500000001</v>
      </c>
      <c r="AM10" s="54">
        <f t="shared" si="28"/>
        <v>41392.85500000001</v>
      </c>
      <c r="AN10" s="54">
        <f t="shared" si="28"/>
        <v>41392.85500000001</v>
      </c>
      <c r="AO10" s="54">
        <f t="shared" si="28"/>
        <v>41392.85500000001</v>
      </c>
      <c r="AP10" s="54">
        <f t="shared" si="28"/>
        <v>41392.85500000001</v>
      </c>
      <c r="AQ10" s="54">
        <f t="shared" si="28"/>
        <v>41392.85500000001</v>
      </c>
      <c r="AR10" s="54">
        <f t="shared" si="28"/>
        <v>41392.85500000001</v>
      </c>
      <c r="AS10" s="54">
        <f t="shared" si="28"/>
        <v>41392.85500000001</v>
      </c>
      <c r="AU10" s="54">
        <f t="shared" ref="AU10" si="29">AU11+AU15+AU25+AU30+AU33+AU38+AU46+AU50</f>
        <v>45852.424250000011</v>
      </c>
      <c r="AV10" s="54">
        <f t="shared" ref="AV10" si="30">AV11+AV15+AV25+AV30+AV33+AV38+AV46+AV50</f>
        <v>45852.424250000011</v>
      </c>
      <c r="AW10" s="54">
        <f t="shared" ref="AW10" si="31">AW11+AW15+AW25+AW30+AW33+AW38+AW46+AW50</f>
        <v>45852.424250000011</v>
      </c>
      <c r="AX10" s="54">
        <f t="shared" ref="AX10" si="32">AX11+AX15+AX25+AX30+AX33+AX38+AX46+AX50</f>
        <v>45852.424250000011</v>
      </c>
      <c r="AY10" s="54">
        <f t="shared" ref="AY10" si="33">AY11+AY15+AY25+AY30+AY33+AY38+AY46+AY50</f>
        <v>45852.424250000011</v>
      </c>
      <c r="AZ10" s="54">
        <f t="shared" ref="AZ10" si="34">AZ11+AZ15+AZ25+AZ30+AZ33+AZ38+AZ46+AZ50</f>
        <v>45852.424250000011</v>
      </c>
      <c r="BA10" s="54">
        <f t="shared" ref="BA10" si="35">BA11+BA15+BA25+BA30+BA33+BA38+BA46+BA50</f>
        <v>45852.424250000011</v>
      </c>
      <c r="BB10" s="54">
        <f t="shared" ref="BB10" si="36">BB11+BB15+BB25+BB30+BB33+BB38+BB46+BB50</f>
        <v>45852.424250000011</v>
      </c>
      <c r="BC10" s="54">
        <f t="shared" ref="BC10" si="37">BC11+BC15+BC25+BC30+BC33+BC38+BC46+BC50</f>
        <v>45852.424250000011</v>
      </c>
      <c r="BD10" s="54">
        <f t="shared" ref="BD10" si="38">BD11+BD15+BD25+BD30+BD33+BD38+BD46+BD50</f>
        <v>45852.424250000011</v>
      </c>
      <c r="BE10" s="54">
        <f t="shared" ref="BE10" si="39">BE11+BE15+BE25+BE30+BE33+BE38+BE46+BE50</f>
        <v>45852.424250000011</v>
      </c>
      <c r="BF10" s="54">
        <f t="shared" ref="BF10" si="40">BF11+BF15+BF25+BF30+BF33+BF38+BF46+BF50</f>
        <v>45852.424250000011</v>
      </c>
      <c r="BH10" s="54">
        <f t="shared" ref="BH10" si="41">BH11+BH15+BH25+BH30+BH33+BH38+BH46+BH50</f>
        <v>50643.569800000012</v>
      </c>
      <c r="BI10" s="54">
        <f t="shared" ref="BI10" si="42">BI11+BI15+BI25+BI30+BI33+BI38+BI46+BI50</f>
        <v>50643.569800000012</v>
      </c>
      <c r="BJ10" s="54">
        <f t="shared" ref="BJ10" si="43">BJ11+BJ15+BJ25+BJ30+BJ33+BJ38+BJ46+BJ50</f>
        <v>50643.569800000012</v>
      </c>
      <c r="BK10" s="54">
        <f t="shared" ref="BK10" si="44">BK11+BK15+BK25+BK30+BK33+BK38+BK46+BK50</f>
        <v>50643.569800000012</v>
      </c>
      <c r="BL10" s="54">
        <f t="shared" ref="BL10" si="45">BL11+BL15+BL25+BL30+BL33+BL38+BL46+BL50</f>
        <v>50643.569800000012</v>
      </c>
      <c r="BM10" s="54">
        <f t="shared" ref="BM10" si="46">BM11+BM15+BM25+BM30+BM33+BM38+BM46+BM50</f>
        <v>50643.569800000012</v>
      </c>
      <c r="BN10" s="54">
        <f t="shared" ref="BN10" si="47">BN11+BN15+BN25+BN30+BN33+BN38+BN46+BN50</f>
        <v>50643.569800000012</v>
      </c>
      <c r="BO10" s="54">
        <f t="shared" ref="BO10" si="48">BO11+BO15+BO25+BO30+BO33+BO38+BO46+BO50</f>
        <v>50643.569800000012</v>
      </c>
      <c r="BP10" s="54">
        <f t="shared" ref="BP10" si="49">BP11+BP15+BP25+BP30+BP33+BP38+BP46+BP50</f>
        <v>50643.569800000012</v>
      </c>
      <c r="BQ10" s="54">
        <f t="shared" ref="BQ10" si="50">BQ11+BQ15+BQ25+BQ30+BQ33+BQ38+BQ46+BQ50</f>
        <v>50643.569800000012</v>
      </c>
      <c r="BR10" s="54">
        <f t="shared" ref="BR10" si="51">BR11+BR15+BR25+BR30+BR33+BR38+BR46+BR50</f>
        <v>50643.569800000012</v>
      </c>
      <c r="BS10" s="54">
        <f t="shared" ref="BS10" si="52">BS11+BS15+BS25+BS30+BS33+BS38+BS46+BS50</f>
        <v>50643.569800000012</v>
      </c>
      <c r="BU10" s="54">
        <f t="shared" ref="BU10" si="53">BU11+BU15+BU25+BU30+BU33+BU38+BU46+BU50</f>
        <v>55799.449280000015</v>
      </c>
      <c r="BV10" s="54">
        <f t="shared" ref="BV10" si="54">BV11+BV15+BV25+BV30+BV33+BV38+BV46+BV50</f>
        <v>55799.449280000015</v>
      </c>
      <c r="BW10" s="54">
        <f t="shared" ref="BW10" si="55">BW11+BW15+BW25+BW30+BW33+BW38+BW46+BW50</f>
        <v>55799.449280000015</v>
      </c>
      <c r="BX10" s="54">
        <f t="shared" ref="BX10" si="56">BX11+BX15+BX25+BX30+BX33+BX38+BX46+BX50</f>
        <v>55799.449280000015</v>
      </c>
      <c r="BY10" s="54">
        <f t="shared" ref="BY10" si="57">BY11+BY15+BY25+BY30+BY33+BY38+BY46+BY50</f>
        <v>55799.449280000015</v>
      </c>
      <c r="BZ10" s="54">
        <f t="shared" ref="BZ10" si="58">BZ11+BZ15+BZ25+BZ30+BZ33+BZ38+BZ46+BZ50</f>
        <v>55799.449280000015</v>
      </c>
      <c r="CA10" s="54">
        <f t="shared" ref="CA10" si="59">CA11+CA15+CA25+CA30+CA33+CA38+CA46+CA50</f>
        <v>55799.449280000015</v>
      </c>
      <c r="CB10" s="54">
        <f t="shared" ref="CB10" si="60">CB11+CB15+CB25+CB30+CB33+CB38+CB46+CB50</f>
        <v>55799.449280000015</v>
      </c>
      <c r="CC10" s="54">
        <f t="shared" ref="CC10" si="61">CC11+CC15+CC25+CC30+CC33+CC38+CC46+CC50</f>
        <v>55799.449280000015</v>
      </c>
      <c r="CD10" s="54">
        <f t="shared" ref="CD10" si="62">CD11+CD15+CD25+CD30+CD33+CD38+CD46+CD50</f>
        <v>55799.449280000015</v>
      </c>
      <c r="CE10" s="54">
        <f t="shared" ref="CE10" si="63">CE11+CE15+CE25+CE30+CE33+CE38+CE46+CE50</f>
        <v>55799.449280000015</v>
      </c>
      <c r="CF10" s="54">
        <f t="shared" ref="CF10" si="64">CF11+CF15+CF25+CF30+CF33+CF38+CF46+CF50</f>
        <v>55799.449280000015</v>
      </c>
    </row>
    <row r="11" spans="1:86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5">E12+E13+E14</f>
        <v>19000</v>
      </c>
      <c r="F11" s="27">
        <f t="shared" si="65"/>
        <v>19000</v>
      </c>
      <c r="G11" s="27">
        <f t="shared" si="65"/>
        <v>19000</v>
      </c>
      <c r="H11" s="27">
        <f t="shared" ref="H11:N11" si="66">H12+H13+H14</f>
        <v>19000</v>
      </c>
      <c r="I11" s="27">
        <f t="shared" si="66"/>
        <v>19000</v>
      </c>
      <c r="J11" s="27">
        <f>J12+J13+J14</f>
        <v>19000</v>
      </c>
      <c r="K11" s="27">
        <f t="shared" si="66"/>
        <v>19000</v>
      </c>
      <c r="L11" s="27">
        <f t="shared" si="66"/>
        <v>19000</v>
      </c>
      <c r="M11" s="27">
        <f t="shared" si="66"/>
        <v>19000</v>
      </c>
      <c r="N11" s="27">
        <f t="shared" si="66"/>
        <v>19000</v>
      </c>
      <c r="O11" s="27"/>
      <c r="P11" s="27"/>
      <c r="Q11" s="27"/>
      <c r="R11" s="27"/>
      <c r="S11" s="27"/>
      <c r="T11" s="5"/>
      <c r="U11" s="27">
        <f t="shared" ref="U11:AF11" si="67">U12+U13+U14</f>
        <v>20900</v>
      </c>
      <c r="V11" s="27">
        <f t="shared" si="67"/>
        <v>20900</v>
      </c>
      <c r="W11" s="27">
        <f t="shared" si="67"/>
        <v>20900</v>
      </c>
      <c r="X11" s="27">
        <f t="shared" si="67"/>
        <v>20900</v>
      </c>
      <c r="Y11" s="27">
        <f t="shared" si="67"/>
        <v>20900</v>
      </c>
      <c r="Z11" s="27">
        <f t="shared" si="67"/>
        <v>20900</v>
      </c>
      <c r="AA11" s="27">
        <f t="shared" si="67"/>
        <v>20900</v>
      </c>
      <c r="AB11" s="27">
        <f t="shared" si="67"/>
        <v>20900</v>
      </c>
      <c r="AC11" s="27">
        <f t="shared" si="67"/>
        <v>20900</v>
      </c>
      <c r="AD11" s="27">
        <f t="shared" si="67"/>
        <v>20900</v>
      </c>
      <c r="AE11" s="27">
        <f t="shared" si="67"/>
        <v>20900</v>
      </c>
      <c r="AF11" s="27">
        <f t="shared" si="67"/>
        <v>20900</v>
      </c>
      <c r="AG11" s="5"/>
      <c r="AH11" s="27">
        <f t="shared" ref="AH11:AS11" si="68">AH12+AH13+AH14</f>
        <v>22990.000000000004</v>
      </c>
      <c r="AI11" s="27">
        <f t="shared" si="68"/>
        <v>22990.000000000004</v>
      </c>
      <c r="AJ11" s="27">
        <f t="shared" si="68"/>
        <v>22990.000000000004</v>
      </c>
      <c r="AK11" s="27">
        <f t="shared" si="68"/>
        <v>22990.000000000004</v>
      </c>
      <c r="AL11" s="27">
        <f t="shared" si="68"/>
        <v>22990.000000000004</v>
      </c>
      <c r="AM11" s="27">
        <f t="shared" si="68"/>
        <v>22990.000000000004</v>
      </c>
      <c r="AN11" s="27">
        <f t="shared" si="68"/>
        <v>22990.000000000004</v>
      </c>
      <c r="AO11" s="27">
        <f t="shared" si="68"/>
        <v>22990.000000000004</v>
      </c>
      <c r="AP11" s="27">
        <f t="shared" si="68"/>
        <v>22990.000000000004</v>
      </c>
      <c r="AQ11" s="27">
        <f t="shared" si="68"/>
        <v>22990.000000000004</v>
      </c>
      <c r="AR11" s="27">
        <f t="shared" si="68"/>
        <v>22990.000000000004</v>
      </c>
      <c r="AS11" s="27">
        <f t="shared" si="68"/>
        <v>22990.000000000004</v>
      </c>
      <c r="AU11" s="27">
        <f t="shared" ref="AU11" si="69">AU12+AU13+AU14</f>
        <v>25289.000000000007</v>
      </c>
      <c r="AV11" s="27">
        <f t="shared" ref="AV11" si="70">AV12+AV13+AV14</f>
        <v>25289.000000000007</v>
      </c>
      <c r="AW11" s="27">
        <f t="shared" ref="AW11" si="71">AW12+AW13+AW14</f>
        <v>25289.000000000007</v>
      </c>
      <c r="AX11" s="27">
        <f t="shared" ref="AX11" si="72">AX12+AX13+AX14</f>
        <v>25289.000000000007</v>
      </c>
      <c r="AY11" s="27">
        <f t="shared" ref="AY11" si="73">AY12+AY13+AY14</f>
        <v>25289.000000000007</v>
      </c>
      <c r="AZ11" s="27">
        <f t="shared" ref="AZ11" si="74">AZ12+AZ13+AZ14</f>
        <v>25289.000000000007</v>
      </c>
      <c r="BA11" s="27">
        <f t="shared" ref="BA11" si="75">BA12+BA13+BA14</f>
        <v>25289.000000000007</v>
      </c>
      <c r="BB11" s="27">
        <f t="shared" ref="BB11" si="76">BB12+BB13+BB14</f>
        <v>25289.000000000007</v>
      </c>
      <c r="BC11" s="27">
        <f t="shared" ref="BC11" si="77">BC12+BC13+BC14</f>
        <v>25289.000000000007</v>
      </c>
      <c r="BD11" s="27">
        <f t="shared" ref="BD11" si="78">BD12+BD13+BD14</f>
        <v>25289.000000000007</v>
      </c>
      <c r="BE11" s="27">
        <f t="shared" ref="BE11" si="79">BE12+BE13+BE14</f>
        <v>25289.000000000007</v>
      </c>
      <c r="BF11" s="27">
        <f t="shared" ref="BF11" si="80">BF12+BF13+BF14</f>
        <v>25289.000000000007</v>
      </c>
      <c r="BH11" s="27">
        <f t="shared" ref="BH11" si="81">BH12+BH13+BH14</f>
        <v>27817.900000000009</v>
      </c>
      <c r="BI11" s="27">
        <f t="shared" ref="BI11" si="82">BI12+BI13+BI14</f>
        <v>27817.900000000009</v>
      </c>
      <c r="BJ11" s="27">
        <f t="shared" ref="BJ11" si="83">BJ12+BJ13+BJ14</f>
        <v>27817.900000000009</v>
      </c>
      <c r="BK11" s="27">
        <f t="shared" ref="BK11" si="84">BK12+BK13+BK14</f>
        <v>27817.900000000009</v>
      </c>
      <c r="BL11" s="27">
        <f t="shared" ref="BL11" si="85">BL12+BL13+BL14</f>
        <v>27817.900000000009</v>
      </c>
      <c r="BM11" s="27">
        <f t="shared" ref="BM11" si="86">BM12+BM13+BM14</f>
        <v>27817.900000000009</v>
      </c>
      <c r="BN11" s="27">
        <f t="shared" ref="BN11" si="87">BN12+BN13+BN14</f>
        <v>27817.900000000009</v>
      </c>
      <c r="BO11" s="27">
        <f t="shared" ref="BO11" si="88">BO12+BO13+BO14</f>
        <v>27817.900000000009</v>
      </c>
      <c r="BP11" s="27">
        <f t="shared" ref="BP11" si="89">BP12+BP13+BP14</f>
        <v>27817.900000000009</v>
      </c>
      <c r="BQ11" s="27">
        <f t="shared" ref="BQ11" si="90">BQ12+BQ13+BQ14</f>
        <v>27817.900000000009</v>
      </c>
      <c r="BR11" s="27">
        <f t="shared" ref="BR11" si="91">BR12+BR13+BR14</f>
        <v>27817.900000000009</v>
      </c>
      <c r="BS11" s="27">
        <f t="shared" ref="BS11" si="92">BS12+BS13+BS14</f>
        <v>27817.900000000009</v>
      </c>
      <c r="BU11" s="27">
        <f t="shared" ref="BU11" si="93">BU12+BU13+BU14</f>
        <v>30599.690000000013</v>
      </c>
      <c r="BV11" s="27">
        <f t="shared" ref="BV11" si="94">BV12+BV13+BV14</f>
        <v>30599.690000000013</v>
      </c>
      <c r="BW11" s="27">
        <f t="shared" ref="BW11" si="95">BW12+BW13+BW14</f>
        <v>30599.690000000013</v>
      </c>
      <c r="BX11" s="27">
        <f t="shared" ref="BX11" si="96">BX12+BX13+BX14</f>
        <v>30599.690000000013</v>
      </c>
      <c r="BY11" s="27">
        <f t="shared" ref="BY11" si="97">BY12+BY13+BY14</f>
        <v>30599.690000000013</v>
      </c>
      <c r="BZ11" s="27">
        <f t="shared" ref="BZ11" si="98">BZ12+BZ13+BZ14</f>
        <v>30599.690000000013</v>
      </c>
      <c r="CA11" s="27">
        <f t="shared" ref="CA11" si="99">CA12+CA13+CA14</f>
        <v>30599.690000000013</v>
      </c>
      <c r="CB11" s="27">
        <f t="shared" ref="CB11" si="100">CB12+CB13+CB14</f>
        <v>30599.690000000013</v>
      </c>
      <c r="CC11" s="27">
        <f t="shared" ref="CC11" si="101">CC12+CC13+CC14</f>
        <v>30599.690000000013</v>
      </c>
      <c r="CD11" s="27">
        <f t="shared" ref="CD11" si="102">CD12+CD13+CD14</f>
        <v>30599.690000000013</v>
      </c>
      <c r="CE11" s="27">
        <f t="shared" ref="CE11" si="103">CE12+CE13+CE14</f>
        <v>30599.690000000013</v>
      </c>
      <c r="CF11" s="27">
        <f t="shared" ref="CF11" si="104">CF12+CF13+CF14</f>
        <v>30599.690000000013</v>
      </c>
    </row>
    <row r="12" spans="1:86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/>
      <c r="P12" s="26"/>
      <c r="Q12" s="26"/>
      <c r="R12" s="26"/>
      <c r="S12" s="26"/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5">$AF$12*$AG$12</f>
        <v>22990.000000000004</v>
      </c>
      <c r="AJ12" s="26">
        <f t="shared" si="105"/>
        <v>22990.000000000004</v>
      </c>
      <c r="AK12" s="26">
        <f t="shared" si="105"/>
        <v>22990.000000000004</v>
      </c>
      <c r="AL12" s="26">
        <f t="shared" si="105"/>
        <v>22990.000000000004</v>
      </c>
      <c r="AM12" s="26">
        <f t="shared" si="105"/>
        <v>22990.000000000004</v>
      </c>
      <c r="AN12" s="26">
        <f t="shared" si="105"/>
        <v>22990.000000000004</v>
      </c>
      <c r="AO12" s="26">
        <f t="shared" si="105"/>
        <v>22990.000000000004</v>
      </c>
      <c r="AP12" s="26">
        <f t="shared" si="105"/>
        <v>22990.000000000004</v>
      </c>
      <c r="AQ12" s="26">
        <f t="shared" si="105"/>
        <v>22990.000000000004</v>
      </c>
      <c r="AR12" s="26">
        <f t="shared" si="105"/>
        <v>22990.000000000004</v>
      </c>
      <c r="AS12" s="26">
        <f t="shared" si="10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06">$AS$12*$AT$12</f>
        <v>25289.000000000007</v>
      </c>
      <c r="AW12" s="26">
        <f t="shared" si="106"/>
        <v>25289.000000000007</v>
      </c>
      <c r="AX12" s="26">
        <f t="shared" si="106"/>
        <v>25289.000000000007</v>
      </c>
      <c r="AY12" s="26">
        <f t="shared" si="106"/>
        <v>25289.000000000007</v>
      </c>
      <c r="AZ12" s="26">
        <f t="shared" si="106"/>
        <v>25289.000000000007</v>
      </c>
      <c r="BA12" s="26">
        <f t="shared" si="106"/>
        <v>25289.000000000007</v>
      </c>
      <c r="BB12" s="26">
        <f t="shared" si="106"/>
        <v>25289.000000000007</v>
      </c>
      <c r="BC12" s="26">
        <f t="shared" si="106"/>
        <v>25289.000000000007</v>
      </c>
      <c r="BD12" s="26">
        <f t="shared" si="106"/>
        <v>25289.000000000007</v>
      </c>
      <c r="BE12" s="26">
        <f t="shared" si="106"/>
        <v>25289.000000000007</v>
      </c>
      <c r="BF12" s="26">
        <f t="shared" si="10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07">$BF$12*$BG$12</f>
        <v>27817.900000000009</v>
      </c>
      <c r="BJ12" s="26">
        <f t="shared" si="107"/>
        <v>27817.900000000009</v>
      </c>
      <c r="BK12" s="26">
        <f t="shared" si="107"/>
        <v>27817.900000000009</v>
      </c>
      <c r="BL12" s="26">
        <f t="shared" si="107"/>
        <v>27817.900000000009</v>
      </c>
      <c r="BM12" s="26">
        <f t="shared" si="107"/>
        <v>27817.900000000009</v>
      </c>
      <c r="BN12" s="26">
        <f t="shared" si="107"/>
        <v>27817.900000000009</v>
      </c>
      <c r="BO12" s="26">
        <f t="shared" si="107"/>
        <v>27817.900000000009</v>
      </c>
      <c r="BP12" s="26">
        <f t="shared" si="107"/>
        <v>27817.900000000009</v>
      </c>
      <c r="BQ12" s="26">
        <f t="shared" si="107"/>
        <v>27817.900000000009</v>
      </c>
      <c r="BR12" s="26">
        <f t="shared" si="107"/>
        <v>27817.900000000009</v>
      </c>
      <c r="BS12" s="26">
        <f t="shared" si="10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F12" si="108">$BS$12*$BT$12</f>
        <v>30599.690000000013</v>
      </c>
      <c r="BW12" s="26">
        <f t="shared" si="108"/>
        <v>30599.690000000013</v>
      </c>
      <c r="BX12" s="26">
        <f t="shared" si="108"/>
        <v>30599.690000000013</v>
      </c>
      <c r="BY12" s="26">
        <f t="shared" si="108"/>
        <v>30599.690000000013</v>
      </c>
      <c r="BZ12" s="26">
        <f t="shared" si="108"/>
        <v>30599.690000000013</v>
      </c>
      <c r="CA12" s="26">
        <f t="shared" si="108"/>
        <v>30599.690000000013</v>
      </c>
      <c r="CB12" s="26">
        <f t="shared" si="108"/>
        <v>30599.690000000013</v>
      </c>
      <c r="CC12" s="26">
        <f t="shared" si="108"/>
        <v>30599.690000000013</v>
      </c>
      <c r="CD12" s="26">
        <f t="shared" si="108"/>
        <v>30599.690000000013</v>
      </c>
      <c r="CE12" s="26">
        <f t="shared" si="108"/>
        <v>30599.690000000013</v>
      </c>
      <c r="CF12" s="26">
        <f t="shared" si="108"/>
        <v>30599.690000000013</v>
      </c>
    </row>
    <row r="13" spans="1:86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/>
      <c r="P13" s="26"/>
      <c r="Q13" s="26"/>
      <c r="R13" s="26"/>
      <c r="S13" s="26"/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86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/>
      <c r="P14" s="26"/>
      <c r="Q14" s="26"/>
      <c r="R14" s="26"/>
      <c r="S14" s="26"/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86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09">SUM(E16:E24)</f>
        <v>0</v>
      </c>
      <c r="F15" s="27">
        <f t="shared" si="109"/>
        <v>3960</v>
      </c>
      <c r="G15" s="27">
        <f t="shared" si="109"/>
        <v>3960</v>
      </c>
      <c r="H15" s="27">
        <f t="shared" ref="H15:N15" si="110">SUM(H16:H24)</f>
        <v>3960</v>
      </c>
      <c r="I15" s="27">
        <f t="shared" si="110"/>
        <v>3960</v>
      </c>
      <c r="J15" s="27">
        <f>SUM(J16:J24)</f>
        <v>3960</v>
      </c>
      <c r="K15" s="27">
        <f t="shared" si="110"/>
        <v>3960</v>
      </c>
      <c r="L15" s="27">
        <f t="shared" si="110"/>
        <v>3960</v>
      </c>
      <c r="M15" s="27">
        <f>SUM(M16:M24)</f>
        <v>3960</v>
      </c>
      <c r="N15" s="27">
        <f t="shared" si="110"/>
        <v>3960</v>
      </c>
      <c r="O15" s="27"/>
      <c r="P15" s="27"/>
      <c r="Q15" s="27"/>
      <c r="R15" s="27"/>
      <c r="S15" s="27"/>
      <c r="T15" s="5"/>
      <c r="U15" s="27">
        <f t="shared" ref="U15:AF15" si="111">SUM(U16:U24)</f>
        <v>4356</v>
      </c>
      <c r="V15" s="27">
        <f t="shared" si="111"/>
        <v>4356</v>
      </c>
      <c r="W15" s="27">
        <f t="shared" si="111"/>
        <v>4356</v>
      </c>
      <c r="X15" s="27">
        <f t="shared" si="111"/>
        <v>4356</v>
      </c>
      <c r="Y15" s="27">
        <f t="shared" si="111"/>
        <v>4356</v>
      </c>
      <c r="Z15" s="27">
        <f t="shared" si="111"/>
        <v>4356</v>
      </c>
      <c r="AA15" s="27">
        <f t="shared" si="111"/>
        <v>4356</v>
      </c>
      <c r="AB15" s="27">
        <f t="shared" si="111"/>
        <v>4356</v>
      </c>
      <c r="AC15" s="27">
        <f t="shared" si="111"/>
        <v>4356</v>
      </c>
      <c r="AD15" s="27">
        <f t="shared" si="111"/>
        <v>4356</v>
      </c>
      <c r="AE15" s="27">
        <f t="shared" si="111"/>
        <v>4356</v>
      </c>
      <c r="AF15" s="27">
        <f t="shared" si="111"/>
        <v>4356</v>
      </c>
      <c r="AG15" s="5"/>
      <c r="AH15" s="27">
        <f t="shared" ref="AH15:AS15" si="112">SUM(AH16:AH24)</f>
        <v>4791.6000000000004</v>
      </c>
      <c r="AI15" s="27">
        <f t="shared" si="112"/>
        <v>4791.6000000000004</v>
      </c>
      <c r="AJ15" s="27">
        <f t="shared" si="112"/>
        <v>4791.6000000000004</v>
      </c>
      <c r="AK15" s="27">
        <f t="shared" si="112"/>
        <v>4791.6000000000004</v>
      </c>
      <c r="AL15" s="27">
        <f t="shared" si="112"/>
        <v>4791.6000000000004</v>
      </c>
      <c r="AM15" s="27">
        <f t="shared" si="112"/>
        <v>4791.6000000000004</v>
      </c>
      <c r="AN15" s="27">
        <f t="shared" si="112"/>
        <v>4791.6000000000004</v>
      </c>
      <c r="AO15" s="27">
        <f t="shared" si="112"/>
        <v>4791.6000000000004</v>
      </c>
      <c r="AP15" s="27">
        <f t="shared" si="112"/>
        <v>4791.6000000000004</v>
      </c>
      <c r="AQ15" s="27">
        <f t="shared" si="112"/>
        <v>4791.6000000000004</v>
      </c>
      <c r="AR15" s="27">
        <f t="shared" si="112"/>
        <v>4791.6000000000004</v>
      </c>
      <c r="AS15" s="27">
        <f t="shared" si="112"/>
        <v>4791.6000000000004</v>
      </c>
      <c r="AU15" s="27">
        <f t="shared" ref="AU15:BF15" si="113">SUM(AU16:AU24)</f>
        <v>5270.76</v>
      </c>
      <c r="AV15" s="27">
        <f t="shared" si="113"/>
        <v>5270.76</v>
      </c>
      <c r="AW15" s="27">
        <f t="shared" si="113"/>
        <v>5270.76</v>
      </c>
      <c r="AX15" s="27">
        <f t="shared" si="113"/>
        <v>5270.76</v>
      </c>
      <c r="AY15" s="27">
        <f t="shared" si="113"/>
        <v>5270.76</v>
      </c>
      <c r="AZ15" s="27">
        <f t="shared" si="113"/>
        <v>5270.76</v>
      </c>
      <c r="BA15" s="27">
        <f t="shared" si="113"/>
        <v>5270.76</v>
      </c>
      <c r="BB15" s="27">
        <f t="shared" si="113"/>
        <v>5270.76</v>
      </c>
      <c r="BC15" s="27">
        <f t="shared" si="113"/>
        <v>5270.76</v>
      </c>
      <c r="BD15" s="27">
        <f t="shared" si="113"/>
        <v>5270.76</v>
      </c>
      <c r="BE15" s="27">
        <f t="shared" si="113"/>
        <v>5270.76</v>
      </c>
      <c r="BF15" s="27">
        <f t="shared" si="113"/>
        <v>5270.76</v>
      </c>
      <c r="BH15" s="27">
        <f t="shared" ref="BH15:BS15" si="114">SUM(BH16:BH24)</f>
        <v>5797.8360000000011</v>
      </c>
      <c r="BI15" s="27">
        <f t="shared" si="114"/>
        <v>5797.8360000000011</v>
      </c>
      <c r="BJ15" s="27">
        <f t="shared" si="114"/>
        <v>5797.8360000000011</v>
      </c>
      <c r="BK15" s="27">
        <f t="shared" si="114"/>
        <v>5797.8360000000011</v>
      </c>
      <c r="BL15" s="27">
        <f t="shared" si="114"/>
        <v>5797.8360000000011</v>
      </c>
      <c r="BM15" s="27">
        <f t="shared" si="114"/>
        <v>5797.8360000000011</v>
      </c>
      <c r="BN15" s="27">
        <f t="shared" si="114"/>
        <v>5797.8360000000011</v>
      </c>
      <c r="BO15" s="27">
        <f t="shared" si="114"/>
        <v>5797.8360000000011</v>
      </c>
      <c r="BP15" s="27">
        <f t="shared" si="114"/>
        <v>5797.8360000000011</v>
      </c>
      <c r="BQ15" s="27">
        <f t="shared" si="114"/>
        <v>5797.8360000000011</v>
      </c>
      <c r="BR15" s="27">
        <f t="shared" si="114"/>
        <v>5797.8360000000011</v>
      </c>
      <c r="BS15" s="27">
        <f t="shared" si="114"/>
        <v>5797.8360000000011</v>
      </c>
      <c r="BU15" s="27">
        <f t="shared" ref="BU15:CF15" si="115">SUM(BU16:BU24)</f>
        <v>6377.6196000000018</v>
      </c>
      <c r="BV15" s="27">
        <f t="shared" si="115"/>
        <v>6377.6196000000018</v>
      </c>
      <c r="BW15" s="27">
        <f t="shared" si="115"/>
        <v>6377.6196000000018</v>
      </c>
      <c r="BX15" s="27">
        <f t="shared" si="115"/>
        <v>6377.6196000000018</v>
      </c>
      <c r="BY15" s="27">
        <f t="shared" si="115"/>
        <v>6377.6196000000018</v>
      </c>
      <c r="BZ15" s="27">
        <f t="shared" si="115"/>
        <v>6377.6196000000018</v>
      </c>
      <c r="CA15" s="27">
        <f t="shared" si="115"/>
        <v>6377.6196000000018</v>
      </c>
      <c r="CB15" s="27">
        <f t="shared" si="115"/>
        <v>6377.6196000000018</v>
      </c>
      <c r="CC15" s="27">
        <f t="shared" si="115"/>
        <v>6377.6196000000018</v>
      </c>
      <c r="CD15" s="27">
        <f t="shared" si="115"/>
        <v>6377.6196000000018</v>
      </c>
      <c r="CE15" s="27">
        <f t="shared" si="115"/>
        <v>6377.6196000000018</v>
      </c>
      <c r="CF15" s="27">
        <f t="shared" si="115"/>
        <v>6377.6196000000018</v>
      </c>
    </row>
    <row r="16" spans="1:86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/>
      <c r="P16" s="38"/>
      <c r="Q16" s="38"/>
      <c r="R16" s="38"/>
      <c r="S16" s="38"/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</row>
    <row r="17" spans="1:84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/>
      <c r="P17" s="38"/>
      <c r="Q17" s="38"/>
      <c r="R17" s="38"/>
      <c r="S17" s="38"/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</row>
    <row r="18" spans="1:84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/>
      <c r="P18" s="38"/>
      <c r="Q18" s="38"/>
      <c r="R18" s="38"/>
      <c r="S18" s="38"/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</row>
    <row r="19" spans="1:84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/>
      <c r="P19" s="38"/>
      <c r="Q19" s="38"/>
      <c r="R19" s="38"/>
      <c r="S19" s="38"/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</row>
    <row r="20" spans="1:84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/>
      <c r="P20" s="38"/>
      <c r="Q20" s="38"/>
      <c r="R20" s="38"/>
      <c r="S20" s="38"/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</row>
    <row r="21" spans="1:84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/>
      <c r="P21" s="38"/>
      <c r="Q21" s="38"/>
      <c r="R21" s="38"/>
      <c r="S21" s="38"/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</row>
    <row r="22" spans="1:84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/>
      <c r="P22" s="26"/>
      <c r="Q22" s="26"/>
      <c r="R22" s="26"/>
      <c r="S22" s="26"/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</row>
    <row r="23" spans="1:84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/>
      <c r="P23" s="14"/>
      <c r="Q23" s="14"/>
      <c r="R23" s="14"/>
      <c r="S23" s="14"/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</row>
    <row r="24" spans="1:84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/>
      <c r="P24" s="14"/>
      <c r="Q24" s="14"/>
      <c r="R24" s="14"/>
      <c r="S24" s="14"/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</row>
    <row r="25" spans="1:84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16">SUM(E26:E29)</f>
        <v>0</v>
      </c>
      <c r="F25" s="27">
        <f t="shared" si="116"/>
        <v>4754</v>
      </c>
      <c r="G25" s="27">
        <f t="shared" si="116"/>
        <v>4754</v>
      </c>
      <c r="H25" s="27">
        <f>SUM(H26:H29)</f>
        <v>4754</v>
      </c>
      <c r="I25" s="27">
        <f t="shared" ref="I25:N25" si="117">SUM(I26:I29)</f>
        <v>4754</v>
      </c>
      <c r="J25" s="27">
        <f t="shared" si="117"/>
        <v>4754</v>
      </c>
      <c r="K25" s="27">
        <f t="shared" si="117"/>
        <v>4754</v>
      </c>
      <c r="L25" s="27">
        <f t="shared" si="117"/>
        <v>4754</v>
      </c>
      <c r="M25" s="27">
        <f t="shared" si="117"/>
        <v>4754</v>
      </c>
      <c r="N25" s="27">
        <f t="shared" si="117"/>
        <v>4754</v>
      </c>
      <c r="O25" s="27"/>
      <c r="P25" s="27"/>
      <c r="Q25" s="27"/>
      <c r="R25" s="27"/>
      <c r="S25" s="27"/>
      <c r="T25" s="19"/>
      <c r="U25" s="27">
        <f>SUM(U26:U29)</f>
        <v>5300</v>
      </c>
      <c r="V25" s="27">
        <f t="shared" ref="V25:AF25" si="118">SUM(V26:V29)</f>
        <v>5300</v>
      </c>
      <c r="W25" s="27">
        <f t="shared" si="118"/>
        <v>5300</v>
      </c>
      <c r="X25" s="27">
        <f t="shared" si="118"/>
        <v>5300</v>
      </c>
      <c r="Y25" s="27">
        <f t="shared" si="118"/>
        <v>5300</v>
      </c>
      <c r="Z25" s="27">
        <f t="shared" si="118"/>
        <v>5300</v>
      </c>
      <c r="AA25" s="27">
        <f t="shared" si="118"/>
        <v>5300</v>
      </c>
      <c r="AB25" s="27">
        <f t="shared" si="118"/>
        <v>5300</v>
      </c>
      <c r="AC25" s="27">
        <f t="shared" si="118"/>
        <v>5300</v>
      </c>
      <c r="AD25" s="27">
        <f t="shared" si="118"/>
        <v>5300</v>
      </c>
      <c r="AE25" s="27">
        <f t="shared" si="118"/>
        <v>5300</v>
      </c>
      <c r="AF25" s="27">
        <f t="shared" si="118"/>
        <v>5300</v>
      </c>
      <c r="AG25" s="5"/>
      <c r="AH25" s="27">
        <f>SUM(AH26:AH29)</f>
        <v>5926.5</v>
      </c>
      <c r="AI25" s="27">
        <f t="shared" ref="AI25:AS25" si="119">SUM(AI26:AI29)</f>
        <v>5926.5</v>
      </c>
      <c r="AJ25" s="27">
        <f t="shared" si="119"/>
        <v>5926.5</v>
      </c>
      <c r="AK25" s="27">
        <f t="shared" si="119"/>
        <v>5926.5</v>
      </c>
      <c r="AL25" s="27">
        <f t="shared" si="119"/>
        <v>5926.5</v>
      </c>
      <c r="AM25" s="27">
        <f t="shared" si="119"/>
        <v>5926.5</v>
      </c>
      <c r="AN25" s="27">
        <f t="shared" si="119"/>
        <v>5926.5</v>
      </c>
      <c r="AO25" s="27">
        <f t="shared" si="119"/>
        <v>5926.5</v>
      </c>
      <c r="AP25" s="27">
        <f t="shared" si="119"/>
        <v>5926.5</v>
      </c>
      <c r="AQ25" s="27">
        <f t="shared" si="119"/>
        <v>5926.5</v>
      </c>
      <c r="AR25" s="27">
        <f t="shared" si="119"/>
        <v>5926.5</v>
      </c>
      <c r="AS25" s="27">
        <f t="shared" si="119"/>
        <v>5926.5</v>
      </c>
      <c r="AU25" s="27">
        <f>SUM(AU26:AU29)</f>
        <v>6375.15</v>
      </c>
      <c r="AV25" s="27">
        <f t="shared" ref="AV25:BF25" si="120">SUM(AV26:AV29)</f>
        <v>6375.15</v>
      </c>
      <c r="AW25" s="27">
        <f t="shared" si="120"/>
        <v>6375.15</v>
      </c>
      <c r="AX25" s="27">
        <f t="shared" si="120"/>
        <v>6375.15</v>
      </c>
      <c r="AY25" s="27">
        <f t="shared" si="120"/>
        <v>6375.15</v>
      </c>
      <c r="AZ25" s="27">
        <f t="shared" si="120"/>
        <v>6375.15</v>
      </c>
      <c r="BA25" s="27">
        <f t="shared" si="120"/>
        <v>6375.15</v>
      </c>
      <c r="BB25" s="27">
        <f t="shared" si="120"/>
        <v>6375.15</v>
      </c>
      <c r="BC25" s="27">
        <f t="shared" si="120"/>
        <v>6375.15</v>
      </c>
      <c r="BD25" s="27">
        <f t="shared" si="120"/>
        <v>6375.15</v>
      </c>
      <c r="BE25" s="27">
        <f t="shared" si="120"/>
        <v>6375.15</v>
      </c>
      <c r="BF25" s="27">
        <f t="shared" si="120"/>
        <v>6375.15</v>
      </c>
      <c r="BH25" s="27">
        <f>SUM(BH26:BH29)</f>
        <v>6831.665</v>
      </c>
      <c r="BI25" s="27">
        <f t="shared" ref="BI25:BS25" si="121">SUM(BI26:BI29)</f>
        <v>6831.665</v>
      </c>
      <c r="BJ25" s="27">
        <f t="shared" si="121"/>
        <v>6831.665</v>
      </c>
      <c r="BK25" s="27">
        <f t="shared" si="121"/>
        <v>6831.665</v>
      </c>
      <c r="BL25" s="27">
        <f t="shared" si="121"/>
        <v>6831.665</v>
      </c>
      <c r="BM25" s="27">
        <f t="shared" si="121"/>
        <v>6831.665</v>
      </c>
      <c r="BN25" s="27">
        <f t="shared" si="121"/>
        <v>6831.665</v>
      </c>
      <c r="BO25" s="27">
        <f t="shared" si="121"/>
        <v>6831.665</v>
      </c>
      <c r="BP25" s="27">
        <f t="shared" si="121"/>
        <v>6831.665</v>
      </c>
      <c r="BQ25" s="27">
        <f t="shared" si="121"/>
        <v>6831.665</v>
      </c>
      <c r="BR25" s="27">
        <f t="shared" si="121"/>
        <v>6831.665</v>
      </c>
      <c r="BS25" s="27">
        <f t="shared" si="121"/>
        <v>6831.665</v>
      </c>
      <c r="BU25" s="27">
        <f>SUM(BU26:BU29)</f>
        <v>7296.8315000000002</v>
      </c>
      <c r="BV25" s="27">
        <f t="shared" ref="BV25:CF25" si="122">SUM(BV26:BV29)</f>
        <v>7296.8315000000002</v>
      </c>
      <c r="BW25" s="27">
        <f t="shared" si="122"/>
        <v>7296.8315000000002</v>
      </c>
      <c r="BX25" s="27">
        <f t="shared" si="122"/>
        <v>7296.8315000000002</v>
      </c>
      <c r="BY25" s="27">
        <f t="shared" si="122"/>
        <v>7296.8315000000002</v>
      </c>
      <c r="BZ25" s="27">
        <f t="shared" si="122"/>
        <v>7296.8315000000002</v>
      </c>
      <c r="CA25" s="27">
        <f t="shared" si="122"/>
        <v>7296.8315000000002</v>
      </c>
      <c r="CB25" s="27">
        <f t="shared" si="122"/>
        <v>7296.8315000000002</v>
      </c>
      <c r="CC25" s="27">
        <f t="shared" si="122"/>
        <v>7296.8315000000002</v>
      </c>
      <c r="CD25" s="27">
        <f t="shared" si="122"/>
        <v>7296.8315000000002</v>
      </c>
      <c r="CE25" s="27">
        <f t="shared" si="122"/>
        <v>7296.8315000000002</v>
      </c>
      <c r="CF25" s="27">
        <f t="shared" si="122"/>
        <v>7296.8315000000002</v>
      </c>
    </row>
    <row r="26" spans="1:84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N26" si="123">F26</f>
        <v>3648</v>
      </c>
      <c r="H26" s="26">
        <f t="shared" si="123"/>
        <v>3648</v>
      </c>
      <c r="I26" s="26">
        <f t="shared" si="123"/>
        <v>3648</v>
      </c>
      <c r="J26" s="26">
        <f t="shared" si="123"/>
        <v>3648</v>
      </c>
      <c r="K26" s="26">
        <f t="shared" si="123"/>
        <v>3648</v>
      </c>
      <c r="L26" s="26">
        <f t="shared" si="123"/>
        <v>3648</v>
      </c>
      <c r="M26" s="26">
        <f t="shared" si="123"/>
        <v>3648</v>
      </c>
      <c r="N26" s="26">
        <f t="shared" si="123"/>
        <v>3648</v>
      </c>
      <c r="O26" s="26"/>
      <c r="P26" s="26"/>
      <c r="Q26" s="26"/>
      <c r="R26" s="26"/>
      <c r="S26" s="26"/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24">W26</f>
        <v>3960</v>
      </c>
      <c r="Y26" s="26">
        <f t="shared" si="124"/>
        <v>3960</v>
      </c>
      <c r="Z26" s="26">
        <f t="shared" si="124"/>
        <v>3960</v>
      </c>
      <c r="AA26" s="26">
        <f t="shared" si="124"/>
        <v>3960</v>
      </c>
      <c r="AB26" s="26">
        <f t="shared" si="124"/>
        <v>3960</v>
      </c>
      <c r="AC26" s="26">
        <f t="shared" si="124"/>
        <v>3960</v>
      </c>
      <c r="AD26" s="26">
        <f t="shared" si="124"/>
        <v>3960</v>
      </c>
      <c r="AE26" s="26">
        <f t="shared" si="124"/>
        <v>3960</v>
      </c>
      <c r="AF26" s="26">
        <f t="shared" si="124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25">AI26</f>
        <v>4320</v>
      </c>
      <c r="AK26" s="26">
        <f t="shared" si="125"/>
        <v>4320</v>
      </c>
      <c r="AL26" s="26">
        <f t="shared" si="125"/>
        <v>4320</v>
      </c>
      <c r="AM26" s="26">
        <f t="shared" si="125"/>
        <v>4320</v>
      </c>
      <c r="AN26" s="26">
        <f t="shared" si="125"/>
        <v>4320</v>
      </c>
      <c r="AO26" s="26">
        <f t="shared" si="125"/>
        <v>4320</v>
      </c>
      <c r="AP26" s="26">
        <f t="shared" si="125"/>
        <v>4320</v>
      </c>
      <c r="AQ26" s="26">
        <f t="shared" si="125"/>
        <v>4320</v>
      </c>
      <c r="AR26" s="26">
        <f t="shared" si="125"/>
        <v>4320</v>
      </c>
      <c r="AS26" s="26">
        <f t="shared" si="125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26">AV26</f>
        <v>4560</v>
      </c>
      <c r="AX26" s="26">
        <f t="shared" si="126"/>
        <v>4560</v>
      </c>
      <c r="AY26" s="26">
        <f t="shared" si="126"/>
        <v>4560</v>
      </c>
      <c r="AZ26" s="26">
        <f t="shared" si="126"/>
        <v>4560</v>
      </c>
      <c r="BA26" s="26">
        <f t="shared" si="126"/>
        <v>4560</v>
      </c>
      <c r="BB26" s="26">
        <f t="shared" si="126"/>
        <v>4560</v>
      </c>
      <c r="BC26" s="26">
        <f t="shared" si="126"/>
        <v>4560</v>
      </c>
      <c r="BD26" s="26">
        <f t="shared" si="126"/>
        <v>4560</v>
      </c>
      <c r="BE26" s="26">
        <f t="shared" si="126"/>
        <v>4560</v>
      </c>
      <c r="BF26" s="26">
        <f t="shared" si="126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27">BI26</f>
        <v>4800</v>
      </c>
      <c r="BK26" s="26">
        <f t="shared" si="127"/>
        <v>4800</v>
      </c>
      <c r="BL26" s="26">
        <f t="shared" si="127"/>
        <v>4800</v>
      </c>
      <c r="BM26" s="26">
        <f t="shared" si="127"/>
        <v>4800</v>
      </c>
      <c r="BN26" s="26">
        <f t="shared" si="127"/>
        <v>4800</v>
      </c>
      <c r="BO26" s="26">
        <f t="shared" si="127"/>
        <v>4800</v>
      </c>
      <c r="BP26" s="26">
        <f t="shared" si="127"/>
        <v>4800</v>
      </c>
      <c r="BQ26" s="26">
        <f t="shared" si="127"/>
        <v>4800</v>
      </c>
      <c r="BR26" s="26">
        <f t="shared" si="127"/>
        <v>4800</v>
      </c>
      <c r="BS26" s="26">
        <f t="shared" si="127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28">BV26</f>
        <v>5040</v>
      </c>
      <c r="BX26" s="26">
        <f t="shared" si="128"/>
        <v>5040</v>
      </c>
      <c r="BY26" s="26">
        <f t="shared" si="128"/>
        <v>5040</v>
      </c>
      <c r="BZ26" s="26">
        <f t="shared" si="128"/>
        <v>5040</v>
      </c>
      <c r="CA26" s="26">
        <f t="shared" si="128"/>
        <v>5040</v>
      </c>
      <c r="CB26" s="26">
        <f t="shared" si="128"/>
        <v>5040</v>
      </c>
      <c r="CC26" s="26">
        <f t="shared" si="128"/>
        <v>5040</v>
      </c>
      <c r="CD26" s="26">
        <f t="shared" si="128"/>
        <v>5040</v>
      </c>
      <c r="CE26" s="26">
        <f t="shared" si="128"/>
        <v>5040</v>
      </c>
      <c r="CF26" s="26">
        <f t="shared" si="128"/>
        <v>5040</v>
      </c>
    </row>
    <row r="27" spans="1:84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N27" si="129">F27</f>
        <v>456</v>
      </c>
      <c r="H27" s="26">
        <f t="shared" si="129"/>
        <v>456</v>
      </c>
      <c r="I27" s="26">
        <f t="shared" si="129"/>
        <v>456</v>
      </c>
      <c r="J27" s="26">
        <f t="shared" si="129"/>
        <v>456</v>
      </c>
      <c r="K27" s="26">
        <f t="shared" si="129"/>
        <v>456</v>
      </c>
      <c r="L27" s="26">
        <f t="shared" si="129"/>
        <v>456</v>
      </c>
      <c r="M27" s="26">
        <f t="shared" si="129"/>
        <v>456</v>
      </c>
      <c r="N27" s="26">
        <f t="shared" si="129"/>
        <v>456</v>
      </c>
      <c r="O27" s="26"/>
      <c r="P27" s="26"/>
      <c r="Q27" s="26"/>
      <c r="R27" s="26"/>
      <c r="S27" s="26"/>
      <c r="T27" s="19">
        <v>1.1000000000000001</v>
      </c>
      <c r="U27" s="26">
        <f>'Água e luz'!I4</f>
        <v>625</v>
      </c>
      <c r="V27" s="26">
        <f t="shared" ref="V27:W27" si="130">U27</f>
        <v>625</v>
      </c>
      <c r="W27" s="26">
        <f t="shared" si="130"/>
        <v>625</v>
      </c>
      <c r="X27" s="26">
        <f t="shared" ref="X27:AF27" si="131">W27</f>
        <v>625</v>
      </c>
      <c r="Y27" s="26">
        <f t="shared" si="131"/>
        <v>625</v>
      </c>
      <c r="Z27" s="26">
        <f t="shared" si="131"/>
        <v>625</v>
      </c>
      <c r="AA27" s="26">
        <f t="shared" si="131"/>
        <v>625</v>
      </c>
      <c r="AB27" s="26">
        <f t="shared" si="131"/>
        <v>625</v>
      </c>
      <c r="AC27" s="26">
        <f t="shared" si="131"/>
        <v>625</v>
      </c>
      <c r="AD27" s="26">
        <f t="shared" si="131"/>
        <v>625</v>
      </c>
      <c r="AE27" s="26">
        <f t="shared" si="131"/>
        <v>625</v>
      </c>
      <c r="AF27" s="26">
        <f t="shared" si="131"/>
        <v>625</v>
      </c>
      <c r="AG27" s="19">
        <v>1.1000000000000001</v>
      </c>
      <c r="AH27" s="26">
        <f>'Água e luz'!I5</f>
        <v>820</v>
      </c>
      <c r="AI27" s="26">
        <f t="shared" ref="AI27:AS29" si="132">AH27</f>
        <v>820</v>
      </c>
      <c r="AJ27" s="26">
        <f t="shared" si="132"/>
        <v>820</v>
      </c>
      <c r="AK27" s="26">
        <f t="shared" si="132"/>
        <v>820</v>
      </c>
      <c r="AL27" s="26">
        <f t="shared" si="132"/>
        <v>820</v>
      </c>
      <c r="AM27" s="26">
        <f t="shared" si="132"/>
        <v>820</v>
      </c>
      <c r="AN27" s="26">
        <f t="shared" si="132"/>
        <v>820</v>
      </c>
      <c r="AO27" s="26">
        <f t="shared" si="132"/>
        <v>820</v>
      </c>
      <c r="AP27" s="26">
        <f t="shared" si="132"/>
        <v>820</v>
      </c>
      <c r="AQ27" s="26">
        <f t="shared" si="132"/>
        <v>820</v>
      </c>
      <c r="AR27" s="26">
        <f t="shared" si="132"/>
        <v>820</v>
      </c>
      <c r="AS27" s="26">
        <f t="shared" si="132"/>
        <v>820</v>
      </c>
      <c r="AT27" s="19">
        <v>1.1000000000000001</v>
      </c>
      <c r="AU27" s="26">
        <f>'Água e luz'!I6</f>
        <v>950</v>
      </c>
      <c r="AV27" s="26">
        <f t="shared" ref="AV27:BF27" si="133">AU27</f>
        <v>950</v>
      </c>
      <c r="AW27" s="26">
        <f t="shared" si="133"/>
        <v>950</v>
      </c>
      <c r="AX27" s="26">
        <f t="shared" si="133"/>
        <v>950</v>
      </c>
      <c r="AY27" s="26">
        <f t="shared" si="133"/>
        <v>950</v>
      </c>
      <c r="AZ27" s="26">
        <f t="shared" si="133"/>
        <v>950</v>
      </c>
      <c r="BA27" s="26">
        <f t="shared" si="133"/>
        <v>950</v>
      </c>
      <c r="BB27" s="26">
        <f t="shared" si="133"/>
        <v>950</v>
      </c>
      <c r="BC27" s="26">
        <f t="shared" si="133"/>
        <v>950</v>
      </c>
      <c r="BD27" s="26">
        <f t="shared" si="133"/>
        <v>950</v>
      </c>
      <c r="BE27" s="26">
        <f t="shared" si="133"/>
        <v>950</v>
      </c>
      <c r="BF27" s="26">
        <f t="shared" si="133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34">BI27</f>
        <v>1080</v>
      </c>
      <c r="BK27" s="26">
        <f t="shared" si="134"/>
        <v>1080</v>
      </c>
      <c r="BL27" s="26">
        <f t="shared" si="134"/>
        <v>1080</v>
      </c>
      <c r="BM27" s="26">
        <f t="shared" si="134"/>
        <v>1080</v>
      </c>
      <c r="BN27" s="26">
        <f t="shared" si="134"/>
        <v>1080</v>
      </c>
      <c r="BO27" s="26">
        <f t="shared" si="134"/>
        <v>1080</v>
      </c>
      <c r="BP27" s="26">
        <f t="shared" si="134"/>
        <v>1080</v>
      </c>
      <c r="BQ27" s="26">
        <f t="shared" si="134"/>
        <v>1080</v>
      </c>
      <c r="BR27" s="26">
        <f t="shared" si="134"/>
        <v>1080</v>
      </c>
      <c r="BS27" s="26">
        <f t="shared" si="134"/>
        <v>1080</v>
      </c>
      <c r="BT27" s="19">
        <v>1.1000000000000001</v>
      </c>
      <c r="BU27" s="26">
        <f>'Água e luz'!I8</f>
        <v>1210</v>
      </c>
      <c r="BV27" s="26">
        <f t="shared" ref="BV27:CF27" si="135">BU27</f>
        <v>1210</v>
      </c>
      <c r="BW27" s="26">
        <f t="shared" si="135"/>
        <v>1210</v>
      </c>
      <c r="BX27" s="26">
        <f t="shared" si="135"/>
        <v>1210</v>
      </c>
      <c r="BY27" s="26">
        <f>BX27</f>
        <v>1210</v>
      </c>
      <c r="BZ27" s="26">
        <f t="shared" si="135"/>
        <v>1210</v>
      </c>
      <c r="CA27" s="26">
        <f t="shared" si="135"/>
        <v>1210</v>
      </c>
      <c r="CB27" s="26">
        <f t="shared" si="135"/>
        <v>1210</v>
      </c>
      <c r="CC27" s="26">
        <f t="shared" si="135"/>
        <v>1210</v>
      </c>
      <c r="CD27" s="26">
        <f t="shared" si="135"/>
        <v>1210</v>
      </c>
      <c r="CE27" s="26">
        <f t="shared" si="135"/>
        <v>1210</v>
      </c>
      <c r="CF27" s="26">
        <f t="shared" si="135"/>
        <v>1210</v>
      </c>
    </row>
    <row r="28" spans="1:84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/>
      <c r="P28" s="26"/>
      <c r="Q28" s="26"/>
      <c r="R28" s="26"/>
      <c r="S28" s="26"/>
      <c r="T28" s="19">
        <v>1.1000000000000001</v>
      </c>
      <c r="U28" s="26">
        <f>N28*T28</f>
        <v>550</v>
      </c>
      <c r="V28" s="26">
        <f t="shared" ref="V28:W28" si="136">U28</f>
        <v>550</v>
      </c>
      <c r="W28" s="26">
        <f t="shared" si="136"/>
        <v>550</v>
      </c>
      <c r="X28" s="26">
        <f t="shared" ref="X28:AF28" si="137">W28</f>
        <v>550</v>
      </c>
      <c r="Y28" s="26">
        <f t="shared" si="137"/>
        <v>550</v>
      </c>
      <c r="Z28" s="26">
        <f t="shared" si="137"/>
        <v>550</v>
      </c>
      <c r="AA28" s="26">
        <f t="shared" si="137"/>
        <v>550</v>
      </c>
      <c r="AB28" s="26">
        <f t="shared" si="137"/>
        <v>550</v>
      </c>
      <c r="AC28" s="26">
        <f t="shared" si="137"/>
        <v>550</v>
      </c>
      <c r="AD28" s="26">
        <f t="shared" si="137"/>
        <v>550</v>
      </c>
      <c r="AE28" s="26">
        <f t="shared" si="137"/>
        <v>550</v>
      </c>
      <c r="AF28" s="26">
        <f t="shared" si="137"/>
        <v>550</v>
      </c>
      <c r="AG28" s="19">
        <v>1.1000000000000001</v>
      </c>
      <c r="AH28" s="26">
        <f t="shared" ref="AH28:AH29" si="138">AF28*AG28</f>
        <v>605</v>
      </c>
      <c r="AI28" s="26">
        <f t="shared" si="132"/>
        <v>605</v>
      </c>
      <c r="AJ28" s="26">
        <f t="shared" si="132"/>
        <v>605</v>
      </c>
      <c r="AK28" s="26">
        <f t="shared" si="132"/>
        <v>605</v>
      </c>
      <c r="AL28" s="26">
        <f t="shared" si="132"/>
        <v>605</v>
      </c>
      <c r="AM28" s="26">
        <f t="shared" si="132"/>
        <v>605</v>
      </c>
      <c r="AN28" s="26">
        <f t="shared" si="132"/>
        <v>605</v>
      </c>
      <c r="AO28" s="26">
        <f t="shared" si="132"/>
        <v>605</v>
      </c>
      <c r="AP28" s="26">
        <f t="shared" si="132"/>
        <v>605</v>
      </c>
      <c r="AQ28" s="26">
        <f t="shared" si="132"/>
        <v>605</v>
      </c>
      <c r="AR28" s="26">
        <f t="shared" si="132"/>
        <v>605</v>
      </c>
      <c r="AS28" s="26">
        <f t="shared" si="132"/>
        <v>605</v>
      </c>
      <c r="AT28" s="19">
        <v>1.1000000000000001</v>
      </c>
      <c r="AU28" s="26">
        <f t="shared" ref="AU28:AU29" si="139">AS28*AT28</f>
        <v>665.5</v>
      </c>
      <c r="AV28" s="26">
        <f t="shared" ref="AV28:BF28" si="140">AU28</f>
        <v>665.5</v>
      </c>
      <c r="AW28" s="26">
        <f t="shared" si="140"/>
        <v>665.5</v>
      </c>
      <c r="AX28" s="26">
        <f t="shared" si="140"/>
        <v>665.5</v>
      </c>
      <c r="AY28" s="26">
        <f t="shared" si="140"/>
        <v>665.5</v>
      </c>
      <c r="AZ28" s="26">
        <f t="shared" si="140"/>
        <v>665.5</v>
      </c>
      <c r="BA28" s="26">
        <f t="shared" si="140"/>
        <v>665.5</v>
      </c>
      <c r="BB28" s="26">
        <f t="shared" si="140"/>
        <v>665.5</v>
      </c>
      <c r="BC28" s="26">
        <f t="shared" si="140"/>
        <v>665.5</v>
      </c>
      <c r="BD28" s="26">
        <f t="shared" si="140"/>
        <v>665.5</v>
      </c>
      <c r="BE28" s="26">
        <f t="shared" si="140"/>
        <v>665.5</v>
      </c>
      <c r="BF28" s="26">
        <f t="shared" si="140"/>
        <v>665.5</v>
      </c>
      <c r="BG28" s="19">
        <v>1.1000000000000001</v>
      </c>
      <c r="BH28" s="26">
        <f>BF28*BG28</f>
        <v>732.05000000000007</v>
      </c>
      <c r="BI28" s="26">
        <f t="shared" ref="BI28:BS28" si="141">BH28</f>
        <v>732.05000000000007</v>
      </c>
      <c r="BJ28" s="26">
        <f t="shared" si="141"/>
        <v>732.05000000000007</v>
      </c>
      <c r="BK28" s="26">
        <f t="shared" si="141"/>
        <v>732.05000000000007</v>
      </c>
      <c r="BL28" s="26">
        <f t="shared" si="141"/>
        <v>732.05000000000007</v>
      </c>
      <c r="BM28" s="26">
        <f t="shared" si="141"/>
        <v>732.05000000000007</v>
      </c>
      <c r="BN28" s="26">
        <f t="shared" si="141"/>
        <v>732.05000000000007</v>
      </c>
      <c r="BO28" s="26">
        <f t="shared" si="141"/>
        <v>732.05000000000007</v>
      </c>
      <c r="BP28" s="26">
        <f t="shared" si="141"/>
        <v>732.05000000000007</v>
      </c>
      <c r="BQ28" s="26">
        <f t="shared" si="141"/>
        <v>732.05000000000007</v>
      </c>
      <c r="BR28" s="26">
        <f t="shared" si="141"/>
        <v>732.05000000000007</v>
      </c>
      <c r="BS28" s="26">
        <f t="shared" si="141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42">BU28</f>
        <v>805.25500000000011</v>
      </c>
      <c r="BW28" s="26">
        <f t="shared" si="142"/>
        <v>805.25500000000011</v>
      </c>
      <c r="BX28" s="26">
        <f t="shared" si="142"/>
        <v>805.25500000000011</v>
      </c>
      <c r="BY28" s="26">
        <f t="shared" si="142"/>
        <v>805.25500000000011</v>
      </c>
      <c r="BZ28" s="26">
        <f t="shared" si="142"/>
        <v>805.25500000000011</v>
      </c>
      <c r="CA28" s="26">
        <f>BZ28</f>
        <v>805.25500000000011</v>
      </c>
      <c r="CB28" s="26">
        <f t="shared" si="142"/>
        <v>805.25500000000011</v>
      </c>
      <c r="CC28" s="26">
        <f>CB28</f>
        <v>805.25500000000011</v>
      </c>
      <c r="CD28" s="26">
        <f t="shared" si="142"/>
        <v>805.25500000000011</v>
      </c>
      <c r="CE28" s="26">
        <f t="shared" si="142"/>
        <v>805.25500000000011</v>
      </c>
      <c r="CF28" s="26">
        <f t="shared" si="142"/>
        <v>805.25500000000011</v>
      </c>
    </row>
    <row r="29" spans="1:84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/>
      <c r="P29" s="26"/>
      <c r="Q29" s="26"/>
      <c r="R29" s="26"/>
      <c r="S29" s="26"/>
      <c r="T29" s="19">
        <v>1.1000000000000001</v>
      </c>
      <c r="U29" s="26">
        <f>N29*T29</f>
        <v>165</v>
      </c>
      <c r="V29" s="26">
        <f t="shared" ref="V29:W29" si="143">U29</f>
        <v>165</v>
      </c>
      <c r="W29" s="26">
        <f t="shared" si="143"/>
        <v>165</v>
      </c>
      <c r="X29" s="26">
        <f t="shared" ref="X29:AF29" si="144">W29</f>
        <v>165</v>
      </c>
      <c r="Y29" s="26">
        <f t="shared" si="144"/>
        <v>165</v>
      </c>
      <c r="Z29" s="26">
        <f t="shared" si="144"/>
        <v>165</v>
      </c>
      <c r="AA29" s="26">
        <f t="shared" si="144"/>
        <v>165</v>
      </c>
      <c r="AB29" s="26">
        <f t="shared" si="144"/>
        <v>165</v>
      </c>
      <c r="AC29" s="26">
        <f t="shared" si="144"/>
        <v>165</v>
      </c>
      <c r="AD29" s="26">
        <f t="shared" si="144"/>
        <v>165</v>
      </c>
      <c r="AE29" s="26">
        <f t="shared" si="144"/>
        <v>165</v>
      </c>
      <c r="AF29" s="26">
        <f t="shared" si="144"/>
        <v>165</v>
      </c>
      <c r="AG29" s="19">
        <v>1.1000000000000001</v>
      </c>
      <c r="AH29" s="26">
        <f t="shared" si="138"/>
        <v>181.50000000000003</v>
      </c>
      <c r="AI29" s="26">
        <f t="shared" si="132"/>
        <v>181.50000000000003</v>
      </c>
      <c r="AJ29" s="26">
        <f t="shared" si="132"/>
        <v>181.50000000000003</v>
      </c>
      <c r="AK29" s="26">
        <f t="shared" si="132"/>
        <v>181.50000000000003</v>
      </c>
      <c r="AL29" s="26">
        <f t="shared" si="132"/>
        <v>181.50000000000003</v>
      </c>
      <c r="AM29" s="26">
        <f t="shared" si="132"/>
        <v>181.50000000000003</v>
      </c>
      <c r="AN29" s="26">
        <f t="shared" si="132"/>
        <v>181.50000000000003</v>
      </c>
      <c r="AO29" s="26">
        <f t="shared" si="132"/>
        <v>181.50000000000003</v>
      </c>
      <c r="AP29" s="26">
        <f t="shared" si="132"/>
        <v>181.50000000000003</v>
      </c>
      <c r="AQ29" s="26">
        <f t="shared" si="132"/>
        <v>181.50000000000003</v>
      </c>
      <c r="AR29" s="26">
        <f t="shared" si="132"/>
        <v>181.50000000000003</v>
      </c>
      <c r="AS29" s="26">
        <f t="shared" si="132"/>
        <v>181.50000000000003</v>
      </c>
      <c r="AT29" s="19">
        <v>1.1000000000000001</v>
      </c>
      <c r="AU29" s="26">
        <f t="shared" si="139"/>
        <v>199.65000000000003</v>
      </c>
      <c r="AV29" s="26">
        <f t="shared" ref="AV29:BF29" si="145">AU29</f>
        <v>199.65000000000003</v>
      </c>
      <c r="AW29" s="26">
        <f t="shared" si="145"/>
        <v>199.65000000000003</v>
      </c>
      <c r="AX29" s="26">
        <f t="shared" si="145"/>
        <v>199.65000000000003</v>
      </c>
      <c r="AY29" s="26">
        <f t="shared" si="145"/>
        <v>199.65000000000003</v>
      </c>
      <c r="AZ29" s="26">
        <f t="shared" si="145"/>
        <v>199.65000000000003</v>
      </c>
      <c r="BA29" s="26">
        <f t="shared" si="145"/>
        <v>199.65000000000003</v>
      </c>
      <c r="BB29" s="26">
        <f t="shared" si="145"/>
        <v>199.65000000000003</v>
      </c>
      <c r="BC29" s="26">
        <f t="shared" si="145"/>
        <v>199.65000000000003</v>
      </c>
      <c r="BD29" s="26">
        <f t="shared" si="145"/>
        <v>199.65000000000003</v>
      </c>
      <c r="BE29" s="26">
        <f t="shared" si="145"/>
        <v>199.65000000000003</v>
      </c>
      <c r="BF29" s="26">
        <f t="shared" si="145"/>
        <v>199.65000000000003</v>
      </c>
      <c r="BG29" s="19">
        <v>1.1000000000000001</v>
      </c>
      <c r="BH29" s="26">
        <f t="shared" ref="BH29" si="146">BF29*BG29</f>
        <v>219.61500000000007</v>
      </c>
      <c r="BI29" s="26">
        <f t="shared" ref="BI29:BS29" si="147">BH29</f>
        <v>219.61500000000007</v>
      </c>
      <c r="BJ29" s="26">
        <f t="shared" si="147"/>
        <v>219.61500000000007</v>
      </c>
      <c r="BK29" s="26">
        <f t="shared" si="147"/>
        <v>219.61500000000007</v>
      </c>
      <c r="BL29" s="26">
        <f t="shared" si="147"/>
        <v>219.61500000000007</v>
      </c>
      <c r="BM29" s="26">
        <f t="shared" si="147"/>
        <v>219.61500000000007</v>
      </c>
      <c r="BN29" s="26">
        <f t="shared" si="147"/>
        <v>219.61500000000007</v>
      </c>
      <c r="BO29" s="26">
        <f t="shared" si="147"/>
        <v>219.61500000000007</v>
      </c>
      <c r="BP29" s="26">
        <f t="shared" si="147"/>
        <v>219.61500000000007</v>
      </c>
      <c r="BQ29" s="26">
        <f t="shared" si="147"/>
        <v>219.61500000000007</v>
      </c>
      <c r="BR29" s="26">
        <f t="shared" si="147"/>
        <v>219.61500000000007</v>
      </c>
      <c r="BS29" s="26">
        <f t="shared" si="147"/>
        <v>219.61500000000007</v>
      </c>
      <c r="BT29" s="19">
        <v>1.1000000000000001</v>
      </c>
      <c r="BU29" s="26">
        <f t="shared" ref="BU29" si="148">BS29*BT29</f>
        <v>241.5765000000001</v>
      </c>
      <c r="BV29" s="26">
        <f t="shared" ref="BV29:CF29" si="149">BU29</f>
        <v>241.5765000000001</v>
      </c>
      <c r="BW29" s="26">
        <f t="shared" si="149"/>
        <v>241.5765000000001</v>
      </c>
      <c r="BX29" s="26">
        <f t="shared" si="149"/>
        <v>241.5765000000001</v>
      </c>
      <c r="BY29" s="26">
        <f t="shared" si="149"/>
        <v>241.5765000000001</v>
      </c>
      <c r="BZ29" s="26">
        <f t="shared" si="149"/>
        <v>241.5765000000001</v>
      </c>
      <c r="CA29" s="26">
        <f t="shared" si="149"/>
        <v>241.5765000000001</v>
      </c>
      <c r="CB29" s="26">
        <f t="shared" si="149"/>
        <v>241.5765000000001</v>
      </c>
      <c r="CC29" s="26">
        <f t="shared" si="149"/>
        <v>241.5765000000001</v>
      </c>
      <c r="CD29" s="26">
        <f t="shared" si="149"/>
        <v>241.5765000000001</v>
      </c>
      <c r="CE29" s="26">
        <f t="shared" si="149"/>
        <v>241.5765000000001</v>
      </c>
      <c r="CF29" s="26">
        <f t="shared" si="149"/>
        <v>241.5765000000001</v>
      </c>
    </row>
    <row r="30" spans="1:84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50">SUM(E31:E32)</f>
        <v>0</v>
      </c>
      <c r="F30" s="27">
        <f t="shared" si="150"/>
        <v>0</v>
      </c>
      <c r="G30" s="27">
        <f t="shared" si="150"/>
        <v>0</v>
      </c>
      <c r="H30" s="27">
        <f>SUM(H31:H32)</f>
        <v>0</v>
      </c>
      <c r="I30" s="27">
        <f t="shared" ref="I30:N30" si="151">SUM(I31:I32)</f>
        <v>0</v>
      </c>
      <c r="J30" s="27">
        <f t="shared" si="151"/>
        <v>0</v>
      </c>
      <c r="K30" s="27">
        <f t="shared" si="151"/>
        <v>0</v>
      </c>
      <c r="L30" s="27">
        <f t="shared" si="151"/>
        <v>300</v>
      </c>
      <c r="M30" s="27">
        <f t="shared" si="151"/>
        <v>300</v>
      </c>
      <c r="N30" s="27">
        <f t="shared" si="151"/>
        <v>300</v>
      </c>
      <c r="O30" s="27"/>
      <c r="P30" s="27"/>
      <c r="Q30" s="27"/>
      <c r="R30" s="27"/>
      <c r="S30" s="27"/>
      <c r="T30" s="5"/>
      <c r="U30" s="27">
        <f>SUM(U31:U32)</f>
        <v>330</v>
      </c>
      <c r="V30" s="27">
        <f t="shared" ref="V30:AF30" si="152">SUM(V31:V32)</f>
        <v>330</v>
      </c>
      <c r="W30" s="27">
        <f t="shared" si="152"/>
        <v>330</v>
      </c>
      <c r="X30" s="27">
        <f t="shared" si="152"/>
        <v>330</v>
      </c>
      <c r="Y30" s="27">
        <f t="shared" si="152"/>
        <v>330</v>
      </c>
      <c r="Z30" s="27">
        <f t="shared" si="152"/>
        <v>330</v>
      </c>
      <c r="AA30" s="27">
        <f t="shared" si="152"/>
        <v>330</v>
      </c>
      <c r="AB30" s="27">
        <f t="shared" si="152"/>
        <v>330</v>
      </c>
      <c r="AC30" s="27">
        <f t="shared" si="152"/>
        <v>330</v>
      </c>
      <c r="AD30" s="27">
        <f t="shared" si="152"/>
        <v>330</v>
      </c>
      <c r="AE30" s="27">
        <f t="shared" si="152"/>
        <v>330</v>
      </c>
      <c r="AF30" s="27">
        <f t="shared" si="152"/>
        <v>330</v>
      </c>
      <c r="AG30" s="5"/>
      <c r="AH30" s="27">
        <f>SUM(AH31:AH32)</f>
        <v>363.00000000000006</v>
      </c>
      <c r="AI30" s="27">
        <f t="shared" ref="AI30:AS30" si="153">SUM(AI31:AI32)</f>
        <v>363.00000000000006</v>
      </c>
      <c r="AJ30" s="27">
        <f t="shared" si="153"/>
        <v>363.00000000000006</v>
      </c>
      <c r="AK30" s="27">
        <f t="shared" si="153"/>
        <v>363.00000000000006</v>
      </c>
      <c r="AL30" s="27">
        <f t="shared" si="153"/>
        <v>363.00000000000006</v>
      </c>
      <c r="AM30" s="27">
        <f t="shared" si="153"/>
        <v>363.00000000000006</v>
      </c>
      <c r="AN30" s="27">
        <f t="shared" si="153"/>
        <v>363.00000000000006</v>
      </c>
      <c r="AO30" s="27">
        <f t="shared" si="153"/>
        <v>363.00000000000006</v>
      </c>
      <c r="AP30" s="27">
        <f t="shared" si="153"/>
        <v>363.00000000000006</v>
      </c>
      <c r="AQ30" s="27">
        <f t="shared" si="153"/>
        <v>363.00000000000006</v>
      </c>
      <c r="AR30" s="27">
        <f t="shared" si="153"/>
        <v>363.00000000000006</v>
      </c>
      <c r="AS30" s="27">
        <f t="shared" si="153"/>
        <v>363.00000000000006</v>
      </c>
      <c r="AT30" s="5"/>
      <c r="AU30" s="27">
        <f>SUM(AU31:AU32)</f>
        <v>399.30000000000007</v>
      </c>
      <c r="AV30" s="27">
        <f t="shared" ref="AV30" si="154">SUM(AV31:AV32)</f>
        <v>399.30000000000007</v>
      </c>
      <c r="AW30" s="27">
        <f t="shared" ref="AW30:BF30" si="155">SUM(AW31:AW32)</f>
        <v>399.30000000000007</v>
      </c>
      <c r="AX30" s="27">
        <f t="shared" si="155"/>
        <v>399.30000000000007</v>
      </c>
      <c r="AY30" s="27">
        <f t="shared" si="155"/>
        <v>399.30000000000007</v>
      </c>
      <c r="AZ30" s="27">
        <f t="shared" si="155"/>
        <v>399.30000000000007</v>
      </c>
      <c r="BA30" s="27">
        <f t="shared" si="155"/>
        <v>399.30000000000007</v>
      </c>
      <c r="BB30" s="27">
        <f t="shared" si="155"/>
        <v>399.30000000000007</v>
      </c>
      <c r="BC30" s="27">
        <f t="shared" si="155"/>
        <v>399.30000000000007</v>
      </c>
      <c r="BD30" s="27">
        <f t="shared" si="155"/>
        <v>399.30000000000007</v>
      </c>
      <c r="BE30" s="27">
        <f t="shared" si="155"/>
        <v>399.30000000000007</v>
      </c>
      <c r="BF30" s="27">
        <f t="shared" si="155"/>
        <v>399.30000000000007</v>
      </c>
      <c r="BG30" s="5"/>
      <c r="BH30" s="27">
        <f>SUM(BH31:BH32)</f>
        <v>439.23000000000013</v>
      </c>
      <c r="BI30" s="27">
        <f t="shared" ref="BI30" si="156">SUM(BI31:BI32)</f>
        <v>439.23000000000013</v>
      </c>
      <c r="BJ30" s="27">
        <f t="shared" ref="BJ30:BS30" si="157">SUM(BJ31:BJ32)</f>
        <v>439.23000000000013</v>
      </c>
      <c r="BK30" s="27">
        <f t="shared" si="157"/>
        <v>439.23000000000013</v>
      </c>
      <c r="BL30" s="27">
        <f t="shared" si="157"/>
        <v>439.23000000000013</v>
      </c>
      <c r="BM30" s="27">
        <f t="shared" si="157"/>
        <v>439.23000000000013</v>
      </c>
      <c r="BN30" s="27">
        <f t="shared" si="157"/>
        <v>439.23000000000013</v>
      </c>
      <c r="BO30" s="27">
        <f t="shared" si="157"/>
        <v>439.23000000000013</v>
      </c>
      <c r="BP30" s="27">
        <f t="shared" si="157"/>
        <v>439.23000000000013</v>
      </c>
      <c r="BQ30" s="27">
        <f t="shared" si="157"/>
        <v>439.23000000000013</v>
      </c>
      <c r="BR30" s="27">
        <f t="shared" si="157"/>
        <v>439.23000000000013</v>
      </c>
      <c r="BS30" s="27">
        <f t="shared" si="157"/>
        <v>439.23000000000013</v>
      </c>
      <c r="BT30" s="5"/>
      <c r="BU30" s="27">
        <f>SUM(BU31:BU32)</f>
        <v>483.15300000000019</v>
      </c>
      <c r="BV30" s="27">
        <f t="shared" ref="BV30" si="158">SUM(BV31:BV32)</f>
        <v>483.15300000000019</v>
      </c>
      <c r="BW30" s="27">
        <f t="shared" ref="BW30:CF30" si="159">SUM(BW31:BW32)</f>
        <v>483.15300000000019</v>
      </c>
      <c r="BX30" s="27">
        <f t="shared" si="159"/>
        <v>483.15300000000019</v>
      </c>
      <c r="BY30" s="27">
        <f t="shared" si="159"/>
        <v>483.15300000000019</v>
      </c>
      <c r="BZ30" s="27">
        <f t="shared" si="159"/>
        <v>483.15300000000019</v>
      </c>
      <c r="CA30" s="27">
        <f t="shared" si="159"/>
        <v>483.15300000000019</v>
      </c>
      <c r="CB30" s="27">
        <f t="shared" si="159"/>
        <v>483.15300000000019</v>
      </c>
      <c r="CC30" s="27">
        <f t="shared" si="159"/>
        <v>483.15300000000019</v>
      </c>
      <c r="CD30" s="27">
        <f t="shared" si="159"/>
        <v>483.15300000000019</v>
      </c>
      <c r="CE30" s="27">
        <f t="shared" si="159"/>
        <v>483.15300000000019</v>
      </c>
      <c r="CF30" s="27">
        <f t="shared" si="159"/>
        <v>483.15300000000019</v>
      </c>
    </row>
    <row r="31" spans="1:84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/>
      <c r="P31" s="26"/>
      <c r="Q31" s="26"/>
      <c r="R31" s="26"/>
      <c r="S31" s="26"/>
      <c r="T31" s="19">
        <v>1.1000000000000001</v>
      </c>
      <c r="U31" s="26">
        <f>N31*T31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60">AF31*AG31</f>
        <v>0</v>
      </c>
      <c r="AI31" s="26">
        <f t="shared" ref="AI31:AS31" si="161">AH31</f>
        <v>0</v>
      </c>
      <c r="AJ31" s="26">
        <f t="shared" si="161"/>
        <v>0</v>
      </c>
      <c r="AK31" s="26">
        <f t="shared" si="161"/>
        <v>0</v>
      </c>
      <c r="AL31" s="26">
        <f t="shared" si="161"/>
        <v>0</v>
      </c>
      <c r="AM31" s="26">
        <f t="shared" si="161"/>
        <v>0</v>
      </c>
      <c r="AN31" s="26">
        <f t="shared" si="161"/>
        <v>0</v>
      </c>
      <c r="AO31" s="26">
        <f t="shared" si="161"/>
        <v>0</v>
      </c>
      <c r="AP31" s="26">
        <f t="shared" si="161"/>
        <v>0</v>
      </c>
      <c r="AQ31" s="26">
        <f t="shared" si="161"/>
        <v>0</v>
      </c>
      <c r="AR31" s="26">
        <f t="shared" si="161"/>
        <v>0</v>
      </c>
      <c r="AS31" s="26">
        <f t="shared" si="161"/>
        <v>0</v>
      </c>
      <c r="AT31" s="19">
        <v>1.1000000000000001</v>
      </c>
      <c r="AU31" s="26">
        <f t="shared" ref="AU31:AU32" si="162">AS31*AT31</f>
        <v>0</v>
      </c>
      <c r="AV31" s="26">
        <f t="shared" ref="AV31" si="163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64">BF31*BG31</f>
        <v>0</v>
      </c>
      <c r="BI31" s="26">
        <f t="shared" ref="BI31" si="165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66">BS31*BT31</f>
        <v>0</v>
      </c>
      <c r="BV31" s="26">
        <f t="shared" ref="BV31" si="167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</row>
    <row r="32" spans="1:84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/>
      <c r="P32" s="26"/>
      <c r="Q32" s="26"/>
      <c r="R32" s="26"/>
      <c r="S32" s="26"/>
      <c r="T32" s="19">
        <v>1.1000000000000001</v>
      </c>
      <c r="U32" s="26">
        <f>N32*T32</f>
        <v>330</v>
      </c>
      <c r="V32" s="26">
        <f t="shared" ref="V32:AF32" si="168">U32</f>
        <v>330</v>
      </c>
      <c r="W32" s="26">
        <f t="shared" si="168"/>
        <v>330</v>
      </c>
      <c r="X32" s="26">
        <f t="shared" si="168"/>
        <v>330</v>
      </c>
      <c r="Y32" s="26">
        <f t="shared" si="168"/>
        <v>330</v>
      </c>
      <c r="Z32" s="26">
        <f t="shared" si="168"/>
        <v>330</v>
      </c>
      <c r="AA32" s="26">
        <f t="shared" si="168"/>
        <v>330</v>
      </c>
      <c r="AB32" s="26">
        <f t="shared" si="168"/>
        <v>330</v>
      </c>
      <c r="AC32" s="26">
        <f t="shared" si="168"/>
        <v>330</v>
      </c>
      <c r="AD32" s="26">
        <f t="shared" si="168"/>
        <v>330</v>
      </c>
      <c r="AE32" s="26">
        <f t="shared" si="168"/>
        <v>330</v>
      </c>
      <c r="AF32" s="26">
        <f t="shared" si="168"/>
        <v>330</v>
      </c>
      <c r="AG32" s="19">
        <v>1.1000000000000001</v>
      </c>
      <c r="AH32" s="26">
        <f t="shared" si="160"/>
        <v>363.00000000000006</v>
      </c>
      <c r="AI32" s="26">
        <f t="shared" ref="AI32:AS34" si="169">AH32</f>
        <v>363.00000000000006</v>
      </c>
      <c r="AJ32" s="26">
        <f t="shared" si="169"/>
        <v>363.00000000000006</v>
      </c>
      <c r="AK32" s="26">
        <f t="shared" si="169"/>
        <v>363.00000000000006</v>
      </c>
      <c r="AL32" s="26">
        <f t="shared" si="169"/>
        <v>363.00000000000006</v>
      </c>
      <c r="AM32" s="26">
        <f t="shared" si="169"/>
        <v>363.00000000000006</v>
      </c>
      <c r="AN32" s="26">
        <f t="shared" si="169"/>
        <v>363.00000000000006</v>
      </c>
      <c r="AO32" s="26">
        <f t="shared" si="169"/>
        <v>363.00000000000006</v>
      </c>
      <c r="AP32" s="26">
        <f t="shared" si="169"/>
        <v>363.00000000000006</v>
      </c>
      <c r="AQ32" s="26">
        <f t="shared" si="169"/>
        <v>363.00000000000006</v>
      </c>
      <c r="AR32" s="26">
        <f t="shared" si="169"/>
        <v>363.00000000000006</v>
      </c>
      <c r="AS32" s="26">
        <f t="shared" si="169"/>
        <v>363.00000000000006</v>
      </c>
      <c r="AT32" s="19">
        <v>1.1000000000000001</v>
      </c>
      <c r="AU32" s="26">
        <f t="shared" si="162"/>
        <v>399.30000000000007</v>
      </c>
      <c r="AV32" s="26">
        <f t="shared" ref="AV32:BF32" si="170">AU32</f>
        <v>399.30000000000007</v>
      </c>
      <c r="AW32" s="26">
        <f t="shared" si="170"/>
        <v>399.30000000000007</v>
      </c>
      <c r="AX32" s="26">
        <f t="shared" si="170"/>
        <v>399.30000000000007</v>
      </c>
      <c r="AY32" s="26">
        <f t="shared" si="170"/>
        <v>399.30000000000007</v>
      </c>
      <c r="AZ32" s="26">
        <f t="shared" si="170"/>
        <v>399.30000000000007</v>
      </c>
      <c r="BA32" s="26">
        <f t="shared" si="170"/>
        <v>399.30000000000007</v>
      </c>
      <c r="BB32" s="26">
        <f t="shared" si="170"/>
        <v>399.30000000000007</v>
      </c>
      <c r="BC32" s="26">
        <f t="shared" si="170"/>
        <v>399.30000000000007</v>
      </c>
      <c r="BD32" s="26">
        <f t="shared" si="170"/>
        <v>399.30000000000007</v>
      </c>
      <c r="BE32" s="26">
        <f t="shared" si="170"/>
        <v>399.30000000000007</v>
      </c>
      <c r="BF32" s="26">
        <f t="shared" si="170"/>
        <v>399.30000000000007</v>
      </c>
      <c r="BG32" s="19">
        <v>1.1000000000000001</v>
      </c>
      <c r="BH32" s="26">
        <f t="shared" si="164"/>
        <v>439.23000000000013</v>
      </c>
      <c r="BI32" s="26">
        <f t="shared" ref="BI32:BS32" si="171">BH32</f>
        <v>439.23000000000013</v>
      </c>
      <c r="BJ32" s="26">
        <f t="shared" si="171"/>
        <v>439.23000000000013</v>
      </c>
      <c r="BK32" s="26">
        <f t="shared" si="171"/>
        <v>439.23000000000013</v>
      </c>
      <c r="BL32" s="26">
        <f t="shared" si="171"/>
        <v>439.23000000000013</v>
      </c>
      <c r="BM32" s="26">
        <f t="shared" si="171"/>
        <v>439.23000000000013</v>
      </c>
      <c r="BN32" s="26">
        <f t="shared" si="171"/>
        <v>439.23000000000013</v>
      </c>
      <c r="BO32" s="26">
        <f t="shared" si="171"/>
        <v>439.23000000000013</v>
      </c>
      <c r="BP32" s="26">
        <f t="shared" si="171"/>
        <v>439.23000000000013</v>
      </c>
      <c r="BQ32" s="26">
        <f t="shared" si="171"/>
        <v>439.23000000000013</v>
      </c>
      <c r="BR32" s="26">
        <f t="shared" si="171"/>
        <v>439.23000000000013</v>
      </c>
      <c r="BS32" s="26">
        <f t="shared" si="171"/>
        <v>439.23000000000013</v>
      </c>
      <c r="BT32" s="19">
        <v>1.1000000000000001</v>
      </c>
      <c r="BU32" s="26">
        <f t="shared" si="166"/>
        <v>483.15300000000019</v>
      </c>
      <c r="BV32" s="26">
        <f t="shared" ref="BV32:CF32" si="172">BU32</f>
        <v>483.15300000000019</v>
      </c>
      <c r="BW32" s="26">
        <f t="shared" si="172"/>
        <v>483.15300000000019</v>
      </c>
      <c r="BX32" s="26">
        <f t="shared" si="172"/>
        <v>483.15300000000019</v>
      </c>
      <c r="BY32" s="26">
        <f t="shared" si="172"/>
        <v>483.15300000000019</v>
      </c>
      <c r="BZ32" s="26">
        <f t="shared" si="172"/>
        <v>483.15300000000019</v>
      </c>
      <c r="CA32" s="26">
        <f t="shared" si="172"/>
        <v>483.15300000000019</v>
      </c>
      <c r="CB32" s="26">
        <f t="shared" si="172"/>
        <v>483.15300000000019</v>
      </c>
      <c r="CC32" s="26">
        <f t="shared" si="172"/>
        <v>483.15300000000019</v>
      </c>
      <c r="CD32" s="26">
        <f t="shared" si="172"/>
        <v>483.15300000000019</v>
      </c>
      <c r="CE32" s="26">
        <f t="shared" si="172"/>
        <v>483.15300000000019</v>
      </c>
      <c r="CF32" s="26">
        <f t="shared" si="172"/>
        <v>483.15300000000019</v>
      </c>
    </row>
    <row r="33" spans="1:84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73">SUM(E34:E37)</f>
        <v>0</v>
      </c>
      <c r="F33" s="39">
        <f t="shared" si="173"/>
        <v>0</v>
      </c>
      <c r="G33" s="39">
        <f t="shared" si="173"/>
        <v>0</v>
      </c>
      <c r="H33" s="39">
        <f>SUM(H34:H37)</f>
        <v>0</v>
      </c>
      <c r="I33" s="39">
        <f t="shared" ref="I33:N33" si="174">SUM(I34:I37)</f>
        <v>0</v>
      </c>
      <c r="J33" s="39">
        <f>SUM(J34:J37)</f>
        <v>0</v>
      </c>
      <c r="K33" s="39">
        <f t="shared" si="174"/>
        <v>0</v>
      </c>
      <c r="L33" s="39">
        <f t="shared" si="174"/>
        <v>0</v>
      </c>
      <c r="M33" s="39">
        <f t="shared" si="174"/>
        <v>0</v>
      </c>
      <c r="N33" s="39">
        <f t="shared" si="174"/>
        <v>0</v>
      </c>
      <c r="O33" s="39"/>
      <c r="P33" s="39"/>
      <c r="Q33" s="39"/>
      <c r="R33" s="39"/>
      <c r="S33" s="39"/>
      <c r="T33" s="5"/>
      <c r="U33" s="39">
        <f>SUM(U34:U37)</f>
        <v>0</v>
      </c>
      <c r="V33" s="39">
        <f t="shared" ref="V33:AF33" si="175">SUM(V34:V37)</f>
        <v>0</v>
      </c>
      <c r="W33" s="39">
        <f t="shared" si="175"/>
        <v>0</v>
      </c>
      <c r="X33" s="39">
        <f t="shared" si="175"/>
        <v>0</v>
      </c>
      <c r="Y33" s="39">
        <f t="shared" si="175"/>
        <v>0</v>
      </c>
      <c r="Z33" s="39">
        <f t="shared" si="175"/>
        <v>0</v>
      </c>
      <c r="AA33" s="39">
        <f t="shared" si="175"/>
        <v>0</v>
      </c>
      <c r="AB33" s="39">
        <f t="shared" si="175"/>
        <v>0</v>
      </c>
      <c r="AC33" s="39">
        <f t="shared" si="175"/>
        <v>0</v>
      </c>
      <c r="AD33" s="39">
        <f t="shared" si="175"/>
        <v>0</v>
      </c>
      <c r="AE33" s="39">
        <f t="shared" si="175"/>
        <v>0</v>
      </c>
      <c r="AF33" s="39">
        <f t="shared" si="175"/>
        <v>0</v>
      </c>
      <c r="AG33" s="5"/>
      <c r="AH33" s="39">
        <f>SUM(AH34:AH37)</f>
        <v>0</v>
      </c>
      <c r="AI33" s="39">
        <f t="shared" ref="AI33:AS33" si="176">SUM(AI34:AI37)</f>
        <v>0</v>
      </c>
      <c r="AJ33" s="39">
        <f t="shared" si="176"/>
        <v>0</v>
      </c>
      <c r="AK33" s="39">
        <f t="shared" si="176"/>
        <v>0</v>
      </c>
      <c r="AL33" s="39">
        <f t="shared" si="176"/>
        <v>0</v>
      </c>
      <c r="AM33" s="39">
        <f t="shared" si="176"/>
        <v>0</v>
      </c>
      <c r="AN33" s="39">
        <f t="shared" si="176"/>
        <v>0</v>
      </c>
      <c r="AO33" s="39">
        <f t="shared" si="176"/>
        <v>0</v>
      </c>
      <c r="AP33" s="39">
        <f t="shared" si="176"/>
        <v>0</v>
      </c>
      <c r="AQ33" s="39">
        <f t="shared" si="176"/>
        <v>0</v>
      </c>
      <c r="AR33" s="39">
        <f t="shared" si="176"/>
        <v>0</v>
      </c>
      <c r="AS33" s="39">
        <f t="shared" si="176"/>
        <v>0</v>
      </c>
      <c r="AT33" s="5"/>
      <c r="AU33" s="39">
        <f>SUM(AU34:AU37)</f>
        <v>0</v>
      </c>
      <c r="AV33" s="39">
        <f t="shared" ref="AV33" si="177">SUM(AV34:AV37)</f>
        <v>0</v>
      </c>
      <c r="AW33" s="39">
        <f t="shared" ref="AW33:BF33" si="178">SUM(AW34:AW37)</f>
        <v>0</v>
      </c>
      <c r="AX33" s="39">
        <f t="shared" si="178"/>
        <v>0</v>
      </c>
      <c r="AY33" s="39">
        <f t="shared" si="178"/>
        <v>0</v>
      </c>
      <c r="AZ33" s="39">
        <f t="shared" si="178"/>
        <v>0</v>
      </c>
      <c r="BA33" s="39">
        <f t="shared" si="178"/>
        <v>0</v>
      </c>
      <c r="BB33" s="39">
        <f t="shared" si="178"/>
        <v>0</v>
      </c>
      <c r="BC33" s="39">
        <f t="shared" si="178"/>
        <v>0</v>
      </c>
      <c r="BD33" s="39">
        <f t="shared" si="178"/>
        <v>0</v>
      </c>
      <c r="BE33" s="39">
        <f t="shared" si="178"/>
        <v>0</v>
      </c>
      <c r="BF33" s="39">
        <f t="shared" si="178"/>
        <v>0</v>
      </c>
      <c r="BG33" s="5"/>
      <c r="BH33" s="39">
        <f>SUM(BH34:BH37)</f>
        <v>0</v>
      </c>
      <c r="BI33" s="39">
        <f t="shared" ref="BI33" si="179">SUM(BI34:BI37)</f>
        <v>0</v>
      </c>
      <c r="BJ33" s="39">
        <f t="shared" ref="BJ33:BS33" si="180">SUM(BJ34:BJ37)</f>
        <v>0</v>
      </c>
      <c r="BK33" s="39">
        <f t="shared" si="180"/>
        <v>0</v>
      </c>
      <c r="BL33" s="39">
        <f t="shared" si="180"/>
        <v>0</v>
      </c>
      <c r="BM33" s="39">
        <f t="shared" si="180"/>
        <v>0</v>
      </c>
      <c r="BN33" s="39">
        <f t="shared" si="180"/>
        <v>0</v>
      </c>
      <c r="BO33" s="39">
        <f t="shared" si="180"/>
        <v>0</v>
      </c>
      <c r="BP33" s="39">
        <f t="shared" si="180"/>
        <v>0</v>
      </c>
      <c r="BQ33" s="39">
        <f t="shared" si="180"/>
        <v>0</v>
      </c>
      <c r="BR33" s="39">
        <f t="shared" si="180"/>
        <v>0</v>
      </c>
      <c r="BS33" s="39">
        <f t="shared" si="180"/>
        <v>0</v>
      </c>
      <c r="BT33" s="5"/>
      <c r="BU33" s="39">
        <f>SUM(BU34:BU37)</f>
        <v>0</v>
      </c>
      <c r="BV33" s="39">
        <f t="shared" ref="BV33" si="181">SUM(BV34:BV37)</f>
        <v>0</v>
      </c>
      <c r="BW33" s="39">
        <f t="shared" ref="BW33:CF33" si="182">SUM(BW34:BW37)</f>
        <v>0</v>
      </c>
      <c r="BX33" s="39">
        <f t="shared" si="182"/>
        <v>0</v>
      </c>
      <c r="BY33" s="39">
        <f t="shared" si="182"/>
        <v>0</v>
      </c>
      <c r="BZ33" s="39">
        <f t="shared" si="182"/>
        <v>0</v>
      </c>
      <c r="CA33" s="39">
        <f t="shared" si="182"/>
        <v>0</v>
      </c>
      <c r="CB33" s="39">
        <f t="shared" si="182"/>
        <v>0</v>
      </c>
      <c r="CC33" s="39">
        <f t="shared" si="182"/>
        <v>0</v>
      </c>
      <c r="CD33" s="39">
        <f t="shared" si="182"/>
        <v>0</v>
      </c>
      <c r="CE33" s="39">
        <f t="shared" si="182"/>
        <v>0</v>
      </c>
      <c r="CF33" s="39">
        <f t="shared" si="182"/>
        <v>0</v>
      </c>
    </row>
    <row r="34" spans="1:84" ht="15" thickBot="1">
      <c r="A34" s="19" t="s">
        <v>38</v>
      </c>
      <c r="B34" s="5" t="s">
        <v>39</v>
      </c>
      <c r="D34" s="307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N34*T34</f>
        <v>0</v>
      </c>
      <c r="V34" s="26">
        <f>U34</f>
        <v>0</v>
      </c>
      <c r="W34" s="26">
        <f t="shared" ref="W34:AF34" si="183">V34</f>
        <v>0</v>
      </c>
      <c r="X34" s="26">
        <f t="shared" si="183"/>
        <v>0</v>
      </c>
      <c r="Y34" s="26">
        <f t="shared" si="183"/>
        <v>0</v>
      </c>
      <c r="Z34" s="26">
        <f t="shared" si="183"/>
        <v>0</v>
      </c>
      <c r="AA34" s="26">
        <f t="shared" si="183"/>
        <v>0</v>
      </c>
      <c r="AB34" s="26">
        <f t="shared" si="183"/>
        <v>0</v>
      </c>
      <c r="AC34" s="26">
        <f t="shared" si="183"/>
        <v>0</v>
      </c>
      <c r="AD34" s="26">
        <f t="shared" si="183"/>
        <v>0</v>
      </c>
      <c r="AE34" s="26"/>
      <c r="AF34" s="26">
        <f t="shared" si="183"/>
        <v>0</v>
      </c>
      <c r="AG34" s="19">
        <v>1.1000000000000001</v>
      </c>
      <c r="AH34" s="26">
        <f t="shared" ref="AH34" si="184">AF34*AG34</f>
        <v>0</v>
      </c>
      <c r="AI34" s="26">
        <f t="shared" si="169"/>
        <v>0</v>
      </c>
      <c r="AJ34" s="26">
        <f t="shared" ref="AJ34:AS34" si="185">AI34</f>
        <v>0</v>
      </c>
      <c r="AK34" s="26">
        <f t="shared" si="185"/>
        <v>0</v>
      </c>
      <c r="AL34" s="26">
        <f t="shared" si="185"/>
        <v>0</v>
      </c>
      <c r="AM34" s="26">
        <f t="shared" si="185"/>
        <v>0</v>
      </c>
      <c r="AN34" s="26">
        <f t="shared" si="185"/>
        <v>0</v>
      </c>
      <c r="AO34" s="26">
        <f t="shared" si="185"/>
        <v>0</v>
      </c>
      <c r="AP34" s="26">
        <f t="shared" si="185"/>
        <v>0</v>
      </c>
      <c r="AQ34" s="26">
        <f t="shared" si="185"/>
        <v>0</v>
      </c>
      <c r="AR34" s="26">
        <f t="shared" si="185"/>
        <v>0</v>
      </c>
      <c r="AS34" s="26">
        <f t="shared" si="185"/>
        <v>0</v>
      </c>
      <c r="AT34" s="19">
        <v>1.1000000000000001</v>
      </c>
      <c r="AU34" s="26">
        <f t="shared" ref="AU34:AU37" si="186">AS34*AT34</f>
        <v>0</v>
      </c>
      <c r="AV34" s="26">
        <f t="shared" ref="AV34:BF36" si="187">AU34</f>
        <v>0</v>
      </c>
      <c r="AW34" s="26">
        <f t="shared" si="187"/>
        <v>0</v>
      </c>
      <c r="AX34" s="26">
        <f t="shared" si="187"/>
        <v>0</v>
      </c>
      <c r="AY34" s="26">
        <f t="shared" si="187"/>
        <v>0</v>
      </c>
      <c r="AZ34" s="26">
        <f t="shared" si="187"/>
        <v>0</v>
      </c>
      <c r="BA34" s="26">
        <f t="shared" si="187"/>
        <v>0</v>
      </c>
      <c r="BB34" s="26">
        <f t="shared" si="187"/>
        <v>0</v>
      </c>
      <c r="BC34" s="26">
        <f t="shared" si="187"/>
        <v>0</v>
      </c>
      <c r="BD34" s="26">
        <f t="shared" si="187"/>
        <v>0</v>
      </c>
      <c r="BE34" s="26">
        <f t="shared" si="187"/>
        <v>0</v>
      </c>
      <c r="BF34" s="26">
        <f t="shared" si="187"/>
        <v>0</v>
      </c>
      <c r="BG34" s="19">
        <v>1.1000000000000001</v>
      </c>
      <c r="BH34" s="26">
        <f t="shared" ref="BH34:BH37" si="188">BF34*BG34</f>
        <v>0</v>
      </c>
      <c r="BI34" s="26">
        <f t="shared" ref="BI34:BS34" si="189">BH34</f>
        <v>0</v>
      </c>
      <c r="BJ34" s="26">
        <f t="shared" si="189"/>
        <v>0</v>
      </c>
      <c r="BK34" s="26">
        <f t="shared" si="189"/>
        <v>0</v>
      </c>
      <c r="BL34" s="26">
        <f t="shared" si="189"/>
        <v>0</v>
      </c>
      <c r="BM34" s="26">
        <f t="shared" si="189"/>
        <v>0</v>
      </c>
      <c r="BN34" s="26">
        <f t="shared" si="189"/>
        <v>0</v>
      </c>
      <c r="BO34" s="26">
        <f t="shared" si="189"/>
        <v>0</v>
      </c>
      <c r="BP34" s="26">
        <f t="shared" si="189"/>
        <v>0</v>
      </c>
      <c r="BQ34" s="26">
        <f t="shared" si="189"/>
        <v>0</v>
      </c>
      <c r="BR34" s="26">
        <f t="shared" si="189"/>
        <v>0</v>
      </c>
      <c r="BS34" s="26">
        <f t="shared" si="189"/>
        <v>0</v>
      </c>
      <c r="BT34" s="19">
        <v>1.1000000000000001</v>
      </c>
      <c r="BU34" s="26">
        <f t="shared" ref="BU34:BU37" si="190">BS34*BT34</f>
        <v>0</v>
      </c>
      <c r="BV34" s="26">
        <f t="shared" ref="BV34:CF34" si="191">BU34</f>
        <v>0</v>
      </c>
      <c r="BW34" s="26">
        <f t="shared" si="191"/>
        <v>0</v>
      </c>
      <c r="BX34" s="26">
        <f t="shared" si="191"/>
        <v>0</v>
      </c>
      <c r="BY34" s="26">
        <f t="shared" si="191"/>
        <v>0</v>
      </c>
      <c r="BZ34" s="26">
        <f t="shared" si="191"/>
        <v>0</v>
      </c>
      <c r="CA34" s="26">
        <f t="shared" si="191"/>
        <v>0</v>
      </c>
      <c r="CB34" s="26">
        <f t="shared" si="191"/>
        <v>0</v>
      </c>
      <c r="CC34" s="26">
        <f t="shared" si="191"/>
        <v>0</v>
      </c>
      <c r="CD34" s="26">
        <f t="shared" si="191"/>
        <v>0</v>
      </c>
      <c r="CE34" s="26">
        <f t="shared" si="191"/>
        <v>0</v>
      </c>
      <c r="CF34" s="26">
        <f t="shared" si="191"/>
        <v>0</v>
      </c>
    </row>
    <row r="35" spans="1:84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>N35*T35</f>
        <v>0</v>
      </c>
      <c r="V35" s="26">
        <f t="shared" ref="V35:AF35" si="192">U35</f>
        <v>0</v>
      </c>
      <c r="W35" s="26">
        <f t="shared" si="192"/>
        <v>0</v>
      </c>
      <c r="X35" s="26">
        <f t="shared" si="192"/>
        <v>0</v>
      </c>
      <c r="Y35" s="26">
        <f t="shared" si="192"/>
        <v>0</v>
      </c>
      <c r="Z35" s="26">
        <f t="shared" si="192"/>
        <v>0</v>
      </c>
      <c r="AA35" s="26">
        <f t="shared" si="192"/>
        <v>0</v>
      </c>
      <c r="AB35" s="26">
        <f t="shared" si="192"/>
        <v>0</v>
      </c>
      <c r="AC35" s="26">
        <f t="shared" si="192"/>
        <v>0</v>
      </c>
      <c r="AD35" s="26">
        <f t="shared" si="192"/>
        <v>0</v>
      </c>
      <c r="AE35" s="26"/>
      <c r="AF35" s="26">
        <f t="shared" si="192"/>
        <v>0</v>
      </c>
      <c r="AG35" s="19">
        <v>1.1000000000000001</v>
      </c>
      <c r="AH35" s="26">
        <f t="shared" ref="AH35:AH37" si="193">AF35*AG35</f>
        <v>0</v>
      </c>
      <c r="AI35" s="26">
        <f t="shared" ref="AI35:AS35" si="194">AH35</f>
        <v>0</v>
      </c>
      <c r="AJ35" s="26">
        <f t="shared" si="194"/>
        <v>0</v>
      </c>
      <c r="AK35" s="26">
        <f t="shared" si="194"/>
        <v>0</v>
      </c>
      <c r="AL35" s="26">
        <f t="shared" si="194"/>
        <v>0</v>
      </c>
      <c r="AM35" s="26">
        <f t="shared" si="194"/>
        <v>0</v>
      </c>
      <c r="AN35" s="26">
        <f t="shared" si="194"/>
        <v>0</v>
      </c>
      <c r="AO35" s="26">
        <f t="shared" si="194"/>
        <v>0</v>
      </c>
      <c r="AP35" s="26">
        <f t="shared" si="194"/>
        <v>0</v>
      </c>
      <c r="AQ35" s="26">
        <f t="shared" si="194"/>
        <v>0</v>
      </c>
      <c r="AR35" s="26">
        <f t="shared" si="194"/>
        <v>0</v>
      </c>
      <c r="AS35" s="26">
        <f t="shared" si="194"/>
        <v>0</v>
      </c>
      <c r="AT35" s="19">
        <v>1.1000000000000001</v>
      </c>
      <c r="AU35" s="26">
        <f t="shared" si="186"/>
        <v>0</v>
      </c>
      <c r="AV35" s="26">
        <f t="shared" si="187"/>
        <v>0</v>
      </c>
      <c r="AW35" s="26">
        <f t="shared" si="187"/>
        <v>0</v>
      </c>
      <c r="AX35" s="26">
        <f t="shared" si="187"/>
        <v>0</v>
      </c>
      <c r="AY35" s="26">
        <f t="shared" si="187"/>
        <v>0</v>
      </c>
      <c r="AZ35" s="26">
        <f t="shared" si="187"/>
        <v>0</v>
      </c>
      <c r="BA35" s="26">
        <f t="shared" si="187"/>
        <v>0</v>
      </c>
      <c r="BB35" s="26">
        <f t="shared" si="187"/>
        <v>0</v>
      </c>
      <c r="BC35" s="26">
        <f t="shared" si="187"/>
        <v>0</v>
      </c>
      <c r="BD35" s="26">
        <f t="shared" si="187"/>
        <v>0</v>
      </c>
      <c r="BE35" s="26">
        <f t="shared" si="187"/>
        <v>0</v>
      </c>
      <c r="BF35" s="26">
        <f t="shared" si="187"/>
        <v>0</v>
      </c>
      <c r="BG35" s="19">
        <v>1.1000000000000001</v>
      </c>
      <c r="BH35" s="26">
        <f t="shared" si="188"/>
        <v>0</v>
      </c>
      <c r="BI35" s="26">
        <f t="shared" ref="BI35:BS35" si="195">BH35</f>
        <v>0</v>
      </c>
      <c r="BJ35" s="26">
        <f t="shared" si="195"/>
        <v>0</v>
      </c>
      <c r="BK35" s="26">
        <f t="shared" si="195"/>
        <v>0</v>
      </c>
      <c r="BL35" s="26">
        <f t="shared" si="195"/>
        <v>0</v>
      </c>
      <c r="BM35" s="26">
        <f t="shared" si="195"/>
        <v>0</v>
      </c>
      <c r="BN35" s="26">
        <f t="shared" si="195"/>
        <v>0</v>
      </c>
      <c r="BO35" s="26">
        <f t="shared" si="195"/>
        <v>0</v>
      </c>
      <c r="BP35" s="26">
        <f t="shared" si="195"/>
        <v>0</v>
      </c>
      <c r="BQ35" s="26">
        <f t="shared" si="195"/>
        <v>0</v>
      </c>
      <c r="BR35" s="26">
        <f t="shared" si="195"/>
        <v>0</v>
      </c>
      <c r="BS35" s="26">
        <f t="shared" si="195"/>
        <v>0</v>
      </c>
      <c r="BT35" s="19">
        <v>1.1000000000000001</v>
      </c>
      <c r="BU35" s="26">
        <f t="shared" si="190"/>
        <v>0</v>
      </c>
      <c r="BV35" s="26">
        <f t="shared" ref="BV35:CF35" si="196">BU35</f>
        <v>0</v>
      </c>
      <c r="BW35" s="26">
        <f t="shared" si="196"/>
        <v>0</v>
      </c>
      <c r="BX35" s="26">
        <f t="shared" si="196"/>
        <v>0</v>
      </c>
      <c r="BY35" s="26">
        <f t="shared" si="196"/>
        <v>0</v>
      </c>
      <c r="BZ35" s="26">
        <f t="shared" si="196"/>
        <v>0</v>
      </c>
      <c r="CA35" s="26">
        <f t="shared" si="196"/>
        <v>0</v>
      </c>
      <c r="CB35" s="26">
        <f t="shared" si="196"/>
        <v>0</v>
      </c>
      <c r="CC35" s="26">
        <f t="shared" si="196"/>
        <v>0</v>
      </c>
      <c r="CD35" s="26">
        <f t="shared" si="196"/>
        <v>0</v>
      </c>
      <c r="CE35" s="26">
        <f t="shared" si="196"/>
        <v>0</v>
      </c>
      <c r="CF35" s="26">
        <f t="shared" si="196"/>
        <v>0</v>
      </c>
    </row>
    <row r="36" spans="1:84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/>
      <c r="P36" s="42"/>
      <c r="Q36" s="42"/>
      <c r="R36" s="42"/>
      <c r="S36" s="42"/>
      <c r="T36" s="19">
        <v>1.1000000000000001</v>
      </c>
      <c r="U36" s="26">
        <f>N36*T36</f>
        <v>0</v>
      </c>
      <c r="V36" s="26">
        <f t="shared" ref="V36:AF36" si="197">U36</f>
        <v>0</v>
      </c>
      <c r="W36" s="26">
        <f t="shared" si="197"/>
        <v>0</v>
      </c>
      <c r="X36" s="26">
        <f t="shared" si="197"/>
        <v>0</v>
      </c>
      <c r="Y36" s="26">
        <f t="shared" si="197"/>
        <v>0</v>
      </c>
      <c r="Z36" s="26">
        <f t="shared" si="197"/>
        <v>0</v>
      </c>
      <c r="AA36" s="26">
        <f t="shared" si="197"/>
        <v>0</v>
      </c>
      <c r="AB36" s="26">
        <f t="shared" si="197"/>
        <v>0</v>
      </c>
      <c r="AC36" s="26">
        <f t="shared" si="197"/>
        <v>0</v>
      </c>
      <c r="AD36" s="26">
        <f t="shared" si="197"/>
        <v>0</v>
      </c>
      <c r="AE36" s="26">
        <f t="shared" si="197"/>
        <v>0</v>
      </c>
      <c r="AF36" s="26">
        <f t="shared" si="197"/>
        <v>0</v>
      </c>
      <c r="AG36" s="19">
        <v>1.1000000000000001</v>
      </c>
      <c r="AH36" s="26">
        <f t="shared" si="193"/>
        <v>0</v>
      </c>
      <c r="AI36" s="26">
        <f t="shared" ref="AI36:AS36" si="198">AH36</f>
        <v>0</v>
      </c>
      <c r="AJ36" s="26">
        <f t="shared" si="198"/>
        <v>0</v>
      </c>
      <c r="AK36" s="26">
        <f t="shared" si="198"/>
        <v>0</v>
      </c>
      <c r="AL36" s="26">
        <f t="shared" si="198"/>
        <v>0</v>
      </c>
      <c r="AM36" s="26">
        <f t="shared" si="198"/>
        <v>0</v>
      </c>
      <c r="AN36" s="26">
        <f t="shared" si="198"/>
        <v>0</v>
      </c>
      <c r="AO36" s="26">
        <f t="shared" si="198"/>
        <v>0</v>
      </c>
      <c r="AP36" s="26">
        <f t="shared" si="198"/>
        <v>0</v>
      </c>
      <c r="AQ36" s="26">
        <f t="shared" si="198"/>
        <v>0</v>
      </c>
      <c r="AR36" s="26">
        <f t="shared" si="198"/>
        <v>0</v>
      </c>
      <c r="AS36" s="26">
        <f t="shared" si="198"/>
        <v>0</v>
      </c>
      <c r="AT36" s="19">
        <v>1.1000000000000001</v>
      </c>
      <c r="AU36" s="26">
        <f t="shared" si="186"/>
        <v>0</v>
      </c>
      <c r="AV36" s="26">
        <f t="shared" si="187"/>
        <v>0</v>
      </c>
      <c r="AW36" s="26">
        <f t="shared" si="187"/>
        <v>0</v>
      </c>
      <c r="AX36" s="26">
        <f t="shared" si="187"/>
        <v>0</v>
      </c>
      <c r="AY36" s="26">
        <f t="shared" si="187"/>
        <v>0</v>
      </c>
      <c r="AZ36" s="26">
        <f t="shared" si="187"/>
        <v>0</v>
      </c>
      <c r="BA36" s="26">
        <f t="shared" si="187"/>
        <v>0</v>
      </c>
      <c r="BB36" s="26">
        <f t="shared" si="187"/>
        <v>0</v>
      </c>
      <c r="BC36" s="26">
        <f t="shared" si="187"/>
        <v>0</v>
      </c>
      <c r="BD36" s="26">
        <f t="shared" si="187"/>
        <v>0</v>
      </c>
      <c r="BE36" s="26">
        <f t="shared" si="187"/>
        <v>0</v>
      </c>
      <c r="BF36" s="26">
        <f t="shared" si="187"/>
        <v>0</v>
      </c>
      <c r="BG36" s="19">
        <v>1.1000000000000001</v>
      </c>
      <c r="BH36" s="26">
        <f t="shared" si="188"/>
        <v>0</v>
      </c>
      <c r="BI36" s="26">
        <f t="shared" ref="BI36:BS36" si="199">BH36</f>
        <v>0</v>
      </c>
      <c r="BJ36" s="26">
        <f t="shared" si="199"/>
        <v>0</v>
      </c>
      <c r="BK36" s="26">
        <f t="shared" si="199"/>
        <v>0</v>
      </c>
      <c r="BL36" s="26">
        <f t="shared" si="199"/>
        <v>0</v>
      </c>
      <c r="BM36" s="26">
        <f t="shared" si="199"/>
        <v>0</v>
      </c>
      <c r="BN36" s="26">
        <f t="shared" si="199"/>
        <v>0</v>
      </c>
      <c r="BO36" s="26">
        <f t="shared" si="199"/>
        <v>0</v>
      </c>
      <c r="BP36" s="26">
        <f t="shared" si="199"/>
        <v>0</v>
      </c>
      <c r="BQ36" s="26">
        <f t="shared" si="199"/>
        <v>0</v>
      </c>
      <c r="BR36" s="26">
        <f t="shared" si="199"/>
        <v>0</v>
      </c>
      <c r="BS36" s="26">
        <f t="shared" si="199"/>
        <v>0</v>
      </c>
      <c r="BT36" s="19">
        <v>1.1000000000000001</v>
      </c>
      <c r="BU36" s="26">
        <f t="shared" si="190"/>
        <v>0</v>
      </c>
      <c r="BV36" s="26">
        <f t="shared" ref="BV36:CF36" si="200">BU36</f>
        <v>0</v>
      </c>
      <c r="BW36" s="26">
        <f t="shared" si="200"/>
        <v>0</v>
      </c>
      <c r="BX36" s="26">
        <f t="shared" si="200"/>
        <v>0</v>
      </c>
      <c r="BY36" s="26">
        <f t="shared" si="200"/>
        <v>0</v>
      </c>
      <c r="BZ36" s="26">
        <f t="shared" si="200"/>
        <v>0</v>
      </c>
      <c r="CA36" s="26">
        <f t="shared" si="200"/>
        <v>0</v>
      </c>
      <c r="CB36" s="26">
        <f t="shared" si="200"/>
        <v>0</v>
      </c>
      <c r="CC36" s="26">
        <f t="shared" si="200"/>
        <v>0</v>
      </c>
      <c r="CD36" s="26">
        <f t="shared" si="200"/>
        <v>0</v>
      </c>
      <c r="CE36" s="26">
        <f t="shared" si="200"/>
        <v>0</v>
      </c>
      <c r="CF36" s="26">
        <f t="shared" si="200"/>
        <v>0</v>
      </c>
    </row>
    <row r="37" spans="1:84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>N37*T37</f>
        <v>0</v>
      </c>
      <c r="V37" s="26">
        <f t="shared" ref="V37:AF39" si="201">U37</f>
        <v>0</v>
      </c>
      <c r="W37" s="26">
        <f t="shared" si="201"/>
        <v>0</v>
      </c>
      <c r="X37" s="26">
        <f t="shared" si="201"/>
        <v>0</v>
      </c>
      <c r="Y37" s="26">
        <f t="shared" si="201"/>
        <v>0</v>
      </c>
      <c r="Z37" s="26">
        <f t="shared" si="201"/>
        <v>0</v>
      </c>
      <c r="AA37" s="26">
        <f t="shared" si="201"/>
        <v>0</v>
      </c>
      <c r="AB37" s="26">
        <f t="shared" si="201"/>
        <v>0</v>
      </c>
      <c r="AC37" s="26">
        <f t="shared" si="201"/>
        <v>0</v>
      </c>
      <c r="AD37" s="26">
        <f t="shared" si="201"/>
        <v>0</v>
      </c>
      <c r="AE37" s="26"/>
      <c r="AF37" s="26">
        <f t="shared" si="201"/>
        <v>0</v>
      </c>
      <c r="AG37" s="19">
        <v>1.1000000000000001</v>
      </c>
      <c r="AH37" s="26">
        <f t="shared" si="193"/>
        <v>0</v>
      </c>
      <c r="AI37" s="26">
        <f t="shared" ref="AI37:AS47" si="202">AH37</f>
        <v>0</v>
      </c>
      <c r="AJ37" s="26">
        <f t="shared" ref="AJ37:AS37" si="203">AI37</f>
        <v>0</v>
      </c>
      <c r="AK37" s="26">
        <f t="shared" si="203"/>
        <v>0</v>
      </c>
      <c r="AL37" s="26">
        <f t="shared" si="203"/>
        <v>0</v>
      </c>
      <c r="AM37" s="26">
        <f t="shared" si="203"/>
        <v>0</v>
      </c>
      <c r="AN37" s="26">
        <f t="shared" si="203"/>
        <v>0</v>
      </c>
      <c r="AO37" s="26">
        <f t="shared" si="203"/>
        <v>0</v>
      </c>
      <c r="AP37" s="26">
        <f t="shared" si="203"/>
        <v>0</v>
      </c>
      <c r="AQ37" s="26">
        <f t="shared" si="203"/>
        <v>0</v>
      </c>
      <c r="AR37" s="26">
        <f t="shared" si="203"/>
        <v>0</v>
      </c>
      <c r="AS37" s="26">
        <f t="shared" si="203"/>
        <v>0</v>
      </c>
      <c r="AT37" s="19">
        <v>1.1000000000000001</v>
      </c>
      <c r="AU37" s="26">
        <f t="shared" si="186"/>
        <v>0</v>
      </c>
      <c r="AV37" s="26">
        <f t="shared" ref="AV37:BF37" si="204">AU37</f>
        <v>0</v>
      </c>
      <c r="AW37" s="26">
        <f t="shared" si="204"/>
        <v>0</v>
      </c>
      <c r="AX37" s="26">
        <f t="shared" si="204"/>
        <v>0</v>
      </c>
      <c r="AY37" s="26">
        <f t="shared" si="204"/>
        <v>0</v>
      </c>
      <c r="AZ37" s="26">
        <f t="shared" si="204"/>
        <v>0</v>
      </c>
      <c r="BA37" s="26">
        <f t="shared" si="204"/>
        <v>0</v>
      </c>
      <c r="BB37" s="26">
        <f t="shared" si="204"/>
        <v>0</v>
      </c>
      <c r="BC37" s="26">
        <f t="shared" si="204"/>
        <v>0</v>
      </c>
      <c r="BD37" s="26">
        <f t="shared" si="204"/>
        <v>0</v>
      </c>
      <c r="BE37" s="26">
        <f t="shared" si="204"/>
        <v>0</v>
      </c>
      <c r="BF37" s="26">
        <f t="shared" si="204"/>
        <v>0</v>
      </c>
      <c r="BG37" s="19">
        <v>1.1000000000000001</v>
      </c>
      <c r="BH37" s="26">
        <f t="shared" si="188"/>
        <v>0</v>
      </c>
      <c r="BI37" s="26">
        <f t="shared" ref="BI37:BS37" si="205">BH37</f>
        <v>0</v>
      </c>
      <c r="BJ37" s="26">
        <f t="shared" si="205"/>
        <v>0</v>
      </c>
      <c r="BK37" s="26">
        <f t="shared" si="205"/>
        <v>0</v>
      </c>
      <c r="BL37" s="26">
        <f t="shared" si="205"/>
        <v>0</v>
      </c>
      <c r="BM37" s="26">
        <f t="shared" si="205"/>
        <v>0</v>
      </c>
      <c r="BN37" s="26">
        <f t="shared" si="205"/>
        <v>0</v>
      </c>
      <c r="BO37" s="26">
        <f t="shared" si="205"/>
        <v>0</v>
      </c>
      <c r="BP37" s="26">
        <f t="shared" si="205"/>
        <v>0</v>
      </c>
      <c r="BQ37" s="26">
        <f t="shared" si="205"/>
        <v>0</v>
      </c>
      <c r="BR37" s="26">
        <f t="shared" si="205"/>
        <v>0</v>
      </c>
      <c r="BS37" s="26">
        <f t="shared" si="205"/>
        <v>0</v>
      </c>
      <c r="BT37" s="19">
        <v>1.1000000000000001</v>
      </c>
      <c r="BU37" s="26">
        <f t="shared" si="190"/>
        <v>0</v>
      </c>
      <c r="BV37" s="26">
        <f t="shared" ref="BV37:CF37" si="206">BU37</f>
        <v>0</v>
      </c>
      <c r="BW37" s="26">
        <f t="shared" si="206"/>
        <v>0</v>
      </c>
      <c r="BX37" s="26">
        <f t="shared" si="206"/>
        <v>0</v>
      </c>
      <c r="BY37" s="26">
        <f t="shared" si="206"/>
        <v>0</v>
      </c>
      <c r="BZ37" s="26">
        <f t="shared" si="206"/>
        <v>0</v>
      </c>
      <c r="CA37" s="26">
        <f t="shared" si="206"/>
        <v>0</v>
      </c>
      <c r="CB37" s="26">
        <f t="shared" si="206"/>
        <v>0</v>
      </c>
      <c r="CC37" s="26">
        <f t="shared" si="206"/>
        <v>0</v>
      </c>
      <c r="CD37" s="26">
        <f t="shared" si="206"/>
        <v>0</v>
      </c>
      <c r="CE37" s="26">
        <f t="shared" si="206"/>
        <v>0</v>
      </c>
      <c r="CF37" s="26">
        <f t="shared" si="206"/>
        <v>0</v>
      </c>
    </row>
    <row r="38" spans="1:84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07">SUM(E39:E45)</f>
        <v>0</v>
      </c>
      <c r="F38" s="39">
        <f t="shared" si="207"/>
        <v>600</v>
      </c>
      <c r="G38" s="39">
        <f t="shared" si="207"/>
        <v>600</v>
      </c>
      <c r="H38" s="39">
        <f>SUM(H39:H45)</f>
        <v>600</v>
      </c>
      <c r="I38" s="39">
        <f t="shared" ref="I38:N38" si="208">SUM(I39:I45)</f>
        <v>600</v>
      </c>
      <c r="J38" s="39">
        <f t="shared" si="208"/>
        <v>600</v>
      </c>
      <c r="K38" s="39">
        <f t="shared" si="208"/>
        <v>600</v>
      </c>
      <c r="L38" s="39">
        <f t="shared" si="208"/>
        <v>600</v>
      </c>
      <c r="M38" s="39">
        <f t="shared" si="208"/>
        <v>600</v>
      </c>
      <c r="N38" s="39">
        <f t="shared" si="208"/>
        <v>600</v>
      </c>
      <c r="O38" s="39"/>
      <c r="P38" s="39"/>
      <c r="Q38" s="39"/>
      <c r="R38" s="39"/>
      <c r="S38" s="39"/>
      <c r="T38" s="5"/>
      <c r="U38" s="39">
        <f>SUM(U39:U45)</f>
        <v>660</v>
      </c>
      <c r="V38" s="39">
        <f t="shared" ref="V38:AF38" si="209">SUM(V39:V45)</f>
        <v>660</v>
      </c>
      <c r="W38" s="39">
        <f t="shared" si="209"/>
        <v>660</v>
      </c>
      <c r="X38" s="39">
        <f t="shared" si="209"/>
        <v>660</v>
      </c>
      <c r="Y38" s="39">
        <f t="shared" si="209"/>
        <v>660</v>
      </c>
      <c r="Z38" s="39">
        <f t="shared" si="209"/>
        <v>660</v>
      </c>
      <c r="AA38" s="39">
        <f t="shared" si="209"/>
        <v>660</v>
      </c>
      <c r="AB38" s="39">
        <f t="shared" si="209"/>
        <v>660</v>
      </c>
      <c r="AC38" s="39">
        <f t="shared" si="209"/>
        <v>660</v>
      </c>
      <c r="AD38" s="39">
        <f t="shared" si="209"/>
        <v>660</v>
      </c>
      <c r="AE38" s="39">
        <f t="shared" si="209"/>
        <v>660</v>
      </c>
      <c r="AF38" s="39">
        <f t="shared" si="209"/>
        <v>660</v>
      </c>
      <c r="AG38" s="5"/>
      <c r="AH38" s="39">
        <f>SUM(AH39:AH45)</f>
        <v>726</v>
      </c>
      <c r="AI38" s="39">
        <f t="shared" ref="AI38:AS38" si="210">SUM(AI39:AI45)</f>
        <v>726</v>
      </c>
      <c r="AJ38" s="39">
        <f t="shared" si="210"/>
        <v>726</v>
      </c>
      <c r="AK38" s="39">
        <f t="shared" si="210"/>
        <v>726</v>
      </c>
      <c r="AL38" s="39">
        <f t="shared" si="210"/>
        <v>726</v>
      </c>
      <c r="AM38" s="39">
        <f t="shared" si="210"/>
        <v>726</v>
      </c>
      <c r="AN38" s="39">
        <f t="shared" si="210"/>
        <v>726</v>
      </c>
      <c r="AO38" s="39">
        <f t="shared" si="210"/>
        <v>726</v>
      </c>
      <c r="AP38" s="39">
        <f t="shared" si="210"/>
        <v>726</v>
      </c>
      <c r="AQ38" s="39">
        <f t="shared" si="210"/>
        <v>726</v>
      </c>
      <c r="AR38" s="39">
        <f t="shared" si="210"/>
        <v>726</v>
      </c>
      <c r="AS38" s="39">
        <f t="shared" si="210"/>
        <v>726</v>
      </c>
      <c r="AT38" s="5"/>
      <c r="AU38" s="39">
        <f>SUM(AU39:AU45)</f>
        <v>798.6</v>
      </c>
      <c r="AV38" s="39">
        <f t="shared" ref="AV38" si="211">SUM(AV39:AV45)</f>
        <v>798.6</v>
      </c>
      <c r="AW38" s="39">
        <f t="shared" ref="AW38:BF38" si="212">SUM(AW39:AW45)</f>
        <v>798.6</v>
      </c>
      <c r="AX38" s="39">
        <f t="shared" si="212"/>
        <v>798.6</v>
      </c>
      <c r="AY38" s="39">
        <f t="shared" si="212"/>
        <v>798.6</v>
      </c>
      <c r="AZ38" s="39">
        <f t="shared" si="212"/>
        <v>798.6</v>
      </c>
      <c r="BA38" s="39">
        <f t="shared" si="212"/>
        <v>798.6</v>
      </c>
      <c r="BB38" s="39">
        <f t="shared" si="212"/>
        <v>798.6</v>
      </c>
      <c r="BC38" s="39">
        <f t="shared" si="212"/>
        <v>798.6</v>
      </c>
      <c r="BD38" s="39">
        <f t="shared" si="212"/>
        <v>798.6</v>
      </c>
      <c r="BE38" s="39">
        <f t="shared" si="212"/>
        <v>798.6</v>
      </c>
      <c r="BF38" s="39">
        <f t="shared" si="212"/>
        <v>798.6</v>
      </c>
      <c r="BG38" s="5"/>
      <c r="BH38" s="39">
        <f>SUM(BH39:BH45)</f>
        <v>878.46000000000015</v>
      </c>
      <c r="BI38" s="39">
        <f t="shared" ref="BI38" si="213">SUM(BI39:BI45)</f>
        <v>878.46000000000015</v>
      </c>
      <c r="BJ38" s="39">
        <f t="shared" ref="BJ38:BS38" si="214">SUM(BJ39:BJ45)</f>
        <v>878.46000000000015</v>
      </c>
      <c r="BK38" s="39">
        <f t="shared" si="214"/>
        <v>878.46000000000015</v>
      </c>
      <c r="BL38" s="39">
        <f t="shared" si="214"/>
        <v>878.46000000000015</v>
      </c>
      <c r="BM38" s="39">
        <f t="shared" si="214"/>
        <v>878.46000000000015</v>
      </c>
      <c r="BN38" s="39">
        <f t="shared" si="214"/>
        <v>878.46000000000015</v>
      </c>
      <c r="BO38" s="39">
        <f t="shared" si="214"/>
        <v>878.46000000000015</v>
      </c>
      <c r="BP38" s="39">
        <f t="shared" si="214"/>
        <v>878.46000000000015</v>
      </c>
      <c r="BQ38" s="39">
        <f t="shared" si="214"/>
        <v>878.46000000000015</v>
      </c>
      <c r="BR38" s="39">
        <f t="shared" si="214"/>
        <v>878.46000000000015</v>
      </c>
      <c r="BS38" s="39">
        <f t="shared" si="214"/>
        <v>878.46000000000015</v>
      </c>
      <c r="BT38" s="5"/>
      <c r="BU38" s="39">
        <f>SUM(BU39:BU45)</f>
        <v>966.30600000000027</v>
      </c>
      <c r="BV38" s="39">
        <f t="shared" ref="BV38" si="215">SUM(BV39:BV45)</f>
        <v>966.30600000000027</v>
      </c>
      <c r="BW38" s="39">
        <f t="shared" ref="BW38:CF38" si="216">SUM(BW39:BW45)</f>
        <v>966.30600000000027</v>
      </c>
      <c r="BX38" s="39">
        <f t="shared" si="216"/>
        <v>966.30600000000027</v>
      </c>
      <c r="BY38" s="39">
        <f t="shared" si="216"/>
        <v>966.30600000000027</v>
      </c>
      <c r="BZ38" s="39">
        <f t="shared" si="216"/>
        <v>966.30600000000027</v>
      </c>
      <c r="CA38" s="39">
        <f t="shared" si="216"/>
        <v>966.30600000000027</v>
      </c>
      <c r="CB38" s="39">
        <f t="shared" si="216"/>
        <v>966.30600000000027</v>
      </c>
      <c r="CC38" s="39">
        <f t="shared" si="216"/>
        <v>966.30600000000027</v>
      </c>
      <c r="CD38" s="39">
        <f t="shared" si="216"/>
        <v>966.30600000000027</v>
      </c>
      <c r="CE38" s="39">
        <f t="shared" si="216"/>
        <v>966.30600000000027</v>
      </c>
      <c r="CF38" s="39">
        <f t="shared" si="216"/>
        <v>966.30600000000027</v>
      </c>
    </row>
    <row r="39" spans="1:84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/>
      <c r="P39" s="26"/>
      <c r="Q39" s="26"/>
      <c r="R39" s="26"/>
      <c r="S39" s="26"/>
      <c r="T39" s="19">
        <v>1.1000000000000001</v>
      </c>
      <c r="U39" s="26">
        <f t="shared" ref="U39:U45" si="217">N39*T39</f>
        <v>110.00000000000001</v>
      </c>
      <c r="V39" s="26">
        <f t="shared" si="201"/>
        <v>110.00000000000001</v>
      </c>
      <c r="W39" s="26">
        <f t="shared" ref="W39:AF39" si="218">V39</f>
        <v>110.00000000000001</v>
      </c>
      <c r="X39" s="26">
        <f t="shared" si="218"/>
        <v>110.00000000000001</v>
      </c>
      <c r="Y39" s="26">
        <f t="shared" si="218"/>
        <v>110.00000000000001</v>
      </c>
      <c r="Z39" s="26">
        <f t="shared" si="218"/>
        <v>110.00000000000001</v>
      </c>
      <c r="AA39" s="26">
        <f t="shared" si="218"/>
        <v>110.00000000000001</v>
      </c>
      <c r="AB39" s="26">
        <f t="shared" si="218"/>
        <v>110.00000000000001</v>
      </c>
      <c r="AC39" s="26">
        <f t="shared" si="218"/>
        <v>110.00000000000001</v>
      </c>
      <c r="AD39" s="26">
        <f t="shared" si="218"/>
        <v>110.00000000000001</v>
      </c>
      <c r="AE39" s="26">
        <f t="shared" si="218"/>
        <v>110.00000000000001</v>
      </c>
      <c r="AF39" s="26">
        <f t="shared" si="218"/>
        <v>110.00000000000001</v>
      </c>
      <c r="AG39" s="19">
        <v>1.1000000000000001</v>
      </c>
      <c r="AH39" s="26">
        <f t="shared" ref="AH39" si="219">AF39*AG39</f>
        <v>121.00000000000003</v>
      </c>
      <c r="AI39" s="26">
        <f t="shared" si="202"/>
        <v>121.00000000000003</v>
      </c>
      <c r="AJ39" s="26">
        <f t="shared" si="202"/>
        <v>121.00000000000003</v>
      </c>
      <c r="AK39" s="26">
        <f t="shared" si="202"/>
        <v>121.00000000000003</v>
      </c>
      <c r="AL39" s="26">
        <f t="shared" si="202"/>
        <v>121.00000000000003</v>
      </c>
      <c r="AM39" s="26">
        <f t="shared" si="202"/>
        <v>121.00000000000003</v>
      </c>
      <c r="AN39" s="26">
        <f t="shared" si="202"/>
        <v>121.00000000000003</v>
      </c>
      <c r="AO39" s="26">
        <f t="shared" si="202"/>
        <v>121.00000000000003</v>
      </c>
      <c r="AP39" s="26">
        <f t="shared" si="202"/>
        <v>121.00000000000003</v>
      </c>
      <c r="AQ39" s="26">
        <f t="shared" si="202"/>
        <v>121.00000000000003</v>
      </c>
      <c r="AR39" s="26">
        <f t="shared" si="202"/>
        <v>121.00000000000003</v>
      </c>
      <c r="AS39" s="26">
        <f t="shared" si="202"/>
        <v>121.00000000000003</v>
      </c>
      <c r="AT39" s="19">
        <v>1.1000000000000001</v>
      </c>
      <c r="AU39" s="26">
        <f t="shared" ref="AU39:AU45" si="220">AS39*AT39</f>
        <v>133.10000000000005</v>
      </c>
      <c r="AV39" s="26">
        <f t="shared" ref="AV39:BF39" si="221">AU39</f>
        <v>133.10000000000005</v>
      </c>
      <c r="AW39" s="26">
        <f t="shared" si="221"/>
        <v>133.10000000000005</v>
      </c>
      <c r="AX39" s="26">
        <f t="shared" si="221"/>
        <v>133.10000000000005</v>
      </c>
      <c r="AY39" s="26">
        <f t="shared" si="221"/>
        <v>133.10000000000005</v>
      </c>
      <c r="AZ39" s="26">
        <f t="shared" si="221"/>
        <v>133.10000000000005</v>
      </c>
      <c r="BA39" s="26">
        <f t="shared" si="221"/>
        <v>133.10000000000005</v>
      </c>
      <c r="BB39" s="26">
        <f t="shared" si="221"/>
        <v>133.10000000000005</v>
      </c>
      <c r="BC39" s="26">
        <f t="shared" si="221"/>
        <v>133.10000000000005</v>
      </c>
      <c r="BD39" s="26">
        <f t="shared" si="221"/>
        <v>133.10000000000005</v>
      </c>
      <c r="BE39" s="26">
        <f t="shared" si="221"/>
        <v>133.10000000000005</v>
      </c>
      <c r="BF39" s="26">
        <f t="shared" si="221"/>
        <v>133.10000000000005</v>
      </c>
      <c r="BG39" s="19">
        <v>1.1000000000000001</v>
      </c>
      <c r="BH39" s="26">
        <f t="shared" ref="BH39:BH45" si="222">BF39*BG39</f>
        <v>146.41000000000008</v>
      </c>
      <c r="BI39" s="26">
        <f t="shared" ref="BI39:BS39" si="223">BH39</f>
        <v>146.41000000000008</v>
      </c>
      <c r="BJ39" s="26">
        <f t="shared" si="223"/>
        <v>146.41000000000008</v>
      </c>
      <c r="BK39" s="26">
        <f t="shared" si="223"/>
        <v>146.41000000000008</v>
      </c>
      <c r="BL39" s="26">
        <f t="shared" si="223"/>
        <v>146.41000000000008</v>
      </c>
      <c r="BM39" s="26">
        <f t="shared" si="223"/>
        <v>146.41000000000008</v>
      </c>
      <c r="BN39" s="26">
        <f t="shared" si="223"/>
        <v>146.41000000000008</v>
      </c>
      <c r="BO39" s="26">
        <f t="shared" si="223"/>
        <v>146.41000000000008</v>
      </c>
      <c r="BP39" s="26">
        <f t="shared" si="223"/>
        <v>146.41000000000008</v>
      </c>
      <c r="BQ39" s="26">
        <f t="shared" si="223"/>
        <v>146.41000000000008</v>
      </c>
      <c r="BR39" s="26">
        <f t="shared" si="223"/>
        <v>146.41000000000008</v>
      </c>
      <c r="BS39" s="26">
        <f t="shared" si="223"/>
        <v>146.41000000000008</v>
      </c>
      <c r="BT39" s="19">
        <v>1.1000000000000001</v>
      </c>
      <c r="BU39" s="26">
        <f t="shared" ref="BU39:BU45" si="224">BS39*BT39</f>
        <v>161.0510000000001</v>
      </c>
      <c r="BV39" s="26">
        <f t="shared" ref="BV39:CF39" si="225">BU39</f>
        <v>161.0510000000001</v>
      </c>
      <c r="BW39" s="26">
        <f t="shared" si="225"/>
        <v>161.0510000000001</v>
      </c>
      <c r="BX39" s="26">
        <f t="shared" si="225"/>
        <v>161.0510000000001</v>
      </c>
      <c r="BY39" s="26">
        <f t="shared" si="225"/>
        <v>161.0510000000001</v>
      </c>
      <c r="BZ39" s="26">
        <f t="shared" si="225"/>
        <v>161.0510000000001</v>
      </c>
      <c r="CA39" s="26">
        <f t="shared" si="225"/>
        <v>161.0510000000001</v>
      </c>
      <c r="CB39" s="26">
        <f t="shared" si="225"/>
        <v>161.0510000000001</v>
      </c>
      <c r="CC39" s="26">
        <f t="shared" si="225"/>
        <v>161.0510000000001</v>
      </c>
      <c r="CD39" s="26">
        <f t="shared" si="225"/>
        <v>161.0510000000001</v>
      </c>
      <c r="CE39" s="26">
        <f t="shared" si="225"/>
        <v>161.0510000000001</v>
      </c>
      <c r="CF39" s="26">
        <f t="shared" si="225"/>
        <v>161.0510000000001</v>
      </c>
    </row>
    <row r="40" spans="1:84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/>
      <c r="P40" s="26"/>
      <c r="Q40" s="26"/>
      <c r="R40" s="26"/>
      <c r="S40" s="26"/>
      <c r="T40" s="19">
        <v>1.1000000000000001</v>
      </c>
      <c r="U40" s="26">
        <f t="shared" si="217"/>
        <v>550</v>
      </c>
      <c r="V40" s="26">
        <f t="shared" ref="V40:AF40" si="226">U40</f>
        <v>550</v>
      </c>
      <c r="W40" s="26">
        <f t="shared" si="226"/>
        <v>550</v>
      </c>
      <c r="X40" s="26">
        <f t="shared" si="226"/>
        <v>550</v>
      </c>
      <c r="Y40" s="26">
        <f t="shared" si="226"/>
        <v>550</v>
      </c>
      <c r="Z40" s="26">
        <f t="shared" si="226"/>
        <v>550</v>
      </c>
      <c r="AA40" s="26">
        <f t="shared" si="226"/>
        <v>550</v>
      </c>
      <c r="AB40" s="26">
        <f t="shared" si="226"/>
        <v>550</v>
      </c>
      <c r="AC40" s="26">
        <f t="shared" si="226"/>
        <v>550</v>
      </c>
      <c r="AD40" s="26">
        <f t="shared" si="226"/>
        <v>550</v>
      </c>
      <c r="AE40" s="26">
        <f t="shared" si="226"/>
        <v>550</v>
      </c>
      <c r="AF40" s="26">
        <f t="shared" si="226"/>
        <v>550</v>
      </c>
      <c r="AG40" s="19">
        <v>1.1000000000000001</v>
      </c>
      <c r="AH40" s="26">
        <f t="shared" ref="AH40:AH45" si="227">AF40*AG40</f>
        <v>605</v>
      </c>
      <c r="AI40" s="26">
        <f t="shared" si="202"/>
        <v>605</v>
      </c>
      <c r="AJ40" s="26">
        <f t="shared" si="202"/>
        <v>605</v>
      </c>
      <c r="AK40" s="26">
        <f t="shared" si="202"/>
        <v>605</v>
      </c>
      <c r="AL40" s="26">
        <f t="shared" si="202"/>
        <v>605</v>
      </c>
      <c r="AM40" s="26">
        <f t="shared" si="202"/>
        <v>605</v>
      </c>
      <c r="AN40" s="26">
        <f t="shared" si="202"/>
        <v>605</v>
      </c>
      <c r="AO40" s="26">
        <f t="shared" si="202"/>
        <v>605</v>
      </c>
      <c r="AP40" s="26">
        <f t="shared" si="202"/>
        <v>605</v>
      </c>
      <c r="AQ40" s="26">
        <f t="shared" si="202"/>
        <v>605</v>
      </c>
      <c r="AR40" s="26">
        <f t="shared" si="202"/>
        <v>605</v>
      </c>
      <c r="AS40" s="26">
        <f t="shared" si="202"/>
        <v>605</v>
      </c>
      <c r="AT40" s="19">
        <v>1.1000000000000001</v>
      </c>
      <c r="AU40" s="26">
        <f t="shared" si="220"/>
        <v>665.5</v>
      </c>
      <c r="AV40" s="26">
        <f t="shared" ref="AV40:BF40" si="228">AU40</f>
        <v>665.5</v>
      </c>
      <c r="AW40" s="26">
        <f t="shared" si="228"/>
        <v>665.5</v>
      </c>
      <c r="AX40" s="26">
        <f t="shared" si="228"/>
        <v>665.5</v>
      </c>
      <c r="AY40" s="26">
        <f t="shared" si="228"/>
        <v>665.5</v>
      </c>
      <c r="AZ40" s="26">
        <f t="shared" si="228"/>
        <v>665.5</v>
      </c>
      <c r="BA40" s="26">
        <f t="shared" si="228"/>
        <v>665.5</v>
      </c>
      <c r="BB40" s="26">
        <f t="shared" si="228"/>
        <v>665.5</v>
      </c>
      <c r="BC40" s="26">
        <f t="shared" si="228"/>
        <v>665.5</v>
      </c>
      <c r="BD40" s="26">
        <f t="shared" si="228"/>
        <v>665.5</v>
      </c>
      <c r="BE40" s="26">
        <f t="shared" si="228"/>
        <v>665.5</v>
      </c>
      <c r="BF40" s="26">
        <f t="shared" si="228"/>
        <v>665.5</v>
      </c>
      <c r="BG40" s="19">
        <v>1.1000000000000001</v>
      </c>
      <c r="BH40" s="26">
        <f t="shared" si="222"/>
        <v>732.05000000000007</v>
      </c>
      <c r="BI40" s="26">
        <f t="shared" ref="BI40:BS40" si="229">BH40</f>
        <v>732.05000000000007</v>
      </c>
      <c r="BJ40" s="26">
        <f t="shared" si="229"/>
        <v>732.05000000000007</v>
      </c>
      <c r="BK40" s="26">
        <f t="shared" si="229"/>
        <v>732.05000000000007</v>
      </c>
      <c r="BL40" s="26">
        <f t="shared" si="229"/>
        <v>732.05000000000007</v>
      </c>
      <c r="BM40" s="26">
        <f t="shared" si="229"/>
        <v>732.05000000000007</v>
      </c>
      <c r="BN40" s="26">
        <f t="shared" si="229"/>
        <v>732.05000000000007</v>
      </c>
      <c r="BO40" s="26">
        <f t="shared" si="229"/>
        <v>732.05000000000007</v>
      </c>
      <c r="BP40" s="26">
        <f t="shared" si="229"/>
        <v>732.05000000000007</v>
      </c>
      <c r="BQ40" s="26">
        <f t="shared" si="229"/>
        <v>732.05000000000007</v>
      </c>
      <c r="BR40" s="26">
        <f t="shared" si="229"/>
        <v>732.05000000000007</v>
      </c>
      <c r="BS40" s="26">
        <f t="shared" si="229"/>
        <v>732.05000000000007</v>
      </c>
      <c r="BT40" s="19">
        <v>1.1000000000000001</v>
      </c>
      <c r="BU40" s="26">
        <f t="shared" si="224"/>
        <v>805.25500000000011</v>
      </c>
      <c r="BV40" s="26">
        <f t="shared" ref="BV40:CF40" si="230">BU40</f>
        <v>805.25500000000011</v>
      </c>
      <c r="BW40" s="26">
        <f t="shared" si="230"/>
        <v>805.25500000000011</v>
      </c>
      <c r="BX40" s="26">
        <f t="shared" si="230"/>
        <v>805.25500000000011</v>
      </c>
      <c r="BY40" s="26">
        <f t="shared" si="230"/>
        <v>805.25500000000011</v>
      </c>
      <c r="BZ40" s="26">
        <f t="shared" si="230"/>
        <v>805.25500000000011</v>
      </c>
      <c r="CA40" s="26">
        <f t="shared" si="230"/>
        <v>805.25500000000011</v>
      </c>
      <c r="CB40" s="26">
        <f t="shared" si="230"/>
        <v>805.25500000000011</v>
      </c>
      <c r="CC40" s="26">
        <f t="shared" si="230"/>
        <v>805.25500000000011</v>
      </c>
      <c r="CD40" s="26">
        <f t="shared" si="230"/>
        <v>805.25500000000011</v>
      </c>
      <c r="CE40" s="26">
        <f t="shared" si="230"/>
        <v>805.25500000000011</v>
      </c>
      <c r="CF40" s="26">
        <f t="shared" si="230"/>
        <v>805.25500000000011</v>
      </c>
    </row>
    <row r="41" spans="1:84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/>
      <c r="P41" s="26"/>
      <c r="Q41" s="26"/>
      <c r="R41" s="26"/>
      <c r="S41" s="26"/>
      <c r="T41" s="19">
        <v>1.1000000000000001</v>
      </c>
      <c r="U41" s="26">
        <f t="shared" si="217"/>
        <v>0</v>
      </c>
      <c r="V41" s="26">
        <f t="shared" ref="V41:AF41" si="231">U41</f>
        <v>0</v>
      </c>
      <c r="W41" s="26">
        <f t="shared" si="231"/>
        <v>0</v>
      </c>
      <c r="X41" s="26">
        <f t="shared" si="231"/>
        <v>0</v>
      </c>
      <c r="Y41" s="26">
        <f t="shared" si="231"/>
        <v>0</v>
      </c>
      <c r="Z41" s="26">
        <f t="shared" si="231"/>
        <v>0</v>
      </c>
      <c r="AA41" s="26">
        <f t="shared" si="231"/>
        <v>0</v>
      </c>
      <c r="AB41" s="26">
        <f t="shared" si="231"/>
        <v>0</v>
      </c>
      <c r="AC41" s="26">
        <f t="shared" si="231"/>
        <v>0</v>
      </c>
      <c r="AD41" s="26">
        <f t="shared" si="231"/>
        <v>0</v>
      </c>
      <c r="AE41" s="26">
        <f t="shared" si="231"/>
        <v>0</v>
      </c>
      <c r="AF41" s="26">
        <f t="shared" si="231"/>
        <v>0</v>
      </c>
      <c r="AG41" s="19">
        <v>1.1000000000000001</v>
      </c>
      <c r="AH41" s="26">
        <f t="shared" si="227"/>
        <v>0</v>
      </c>
      <c r="AI41" s="26">
        <f t="shared" si="202"/>
        <v>0</v>
      </c>
      <c r="AJ41" s="26">
        <f t="shared" si="202"/>
        <v>0</v>
      </c>
      <c r="AK41" s="26">
        <f t="shared" si="202"/>
        <v>0</v>
      </c>
      <c r="AL41" s="26">
        <f t="shared" si="202"/>
        <v>0</v>
      </c>
      <c r="AM41" s="26">
        <f t="shared" si="202"/>
        <v>0</v>
      </c>
      <c r="AN41" s="26">
        <f t="shared" si="202"/>
        <v>0</v>
      </c>
      <c r="AO41" s="26">
        <f t="shared" si="202"/>
        <v>0</v>
      </c>
      <c r="AP41" s="26">
        <f t="shared" si="202"/>
        <v>0</v>
      </c>
      <c r="AQ41" s="26">
        <f t="shared" si="202"/>
        <v>0</v>
      </c>
      <c r="AR41" s="26">
        <f t="shared" si="202"/>
        <v>0</v>
      </c>
      <c r="AS41" s="26">
        <f t="shared" si="202"/>
        <v>0</v>
      </c>
      <c r="AT41" s="19">
        <v>1.1000000000000001</v>
      </c>
      <c r="AU41" s="26">
        <f t="shared" si="220"/>
        <v>0</v>
      </c>
      <c r="AV41" s="26">
        <f t="shared" ref="AV41:BF41" si="232">AU41</f>
        <v>0</v>
      </c>
      <c r="AW41" s="26">
        <f t="shared" si="232"/>
        <v>0</v>
      </c>
      <c r="AX41" s="26">
        <f t="shared" si="232"/>
        <v>0</v>
      </c>
      <c r="AY41" s="26">
        <f t="shared" si="232"/>
        <v>0</v>
      </c>
      <c r="AZ41" s="26">
        <f t="shared" si="232"/>
        <v>0</v>
      </c>
      <c r="BA41" s="26">
        <f t="shared" si="232"/>
        <v>0</v>
      </c>
      <c r="BB41" s="26">
        <f t="shared" si="232"/>
        <v>0</v>
      </c>
      <c r="BC41" s="26">
        <f t="shared" si="232"/>
        <v>0</v>
      </c>
      <c r="BD41" s="26">
        <f t="shared" si="232"/>
        <v>0</v>
      </c>
      <c r="BE41" s="26">
        <f t="shared" si="232"/>
        <v>0</v>
      </c>
      <c r="BF41" s="26">
        <f t="shared" si="232"/>
        <v>0</v>
      </c>
      <c r="BG41" s="19">
        <v>1.1000000000000001</v>
      </c>
      <c r="BH41" s="26">
        <f t="shared" si="222"/>
        <v>0</v>
      </c>
      <c r="BI41" s="26">
        <f t="shared" ref="BI41:BS41" si="233">BH41</f>
        <v>0</v>
      </c>
      <c r="BJ41" s="26">
        <f t="shared" si="233"/>
        <v>0</v>
      </c>
      <c r="BK41" s="26">
        <f t="shared" si="233"/>
        <v>0</v>
      </c>
      <c r="BL41" s="26">
        <f t="shared" si="233"/>
        <v>0</v>
      </c>
      <c r="BM41" s="26">
        <f t="shared" si="233"/>
        <v>0</v>
      </c>
      <c r="BN41" s="26">
        <f t="shared" si="233"/>
        <v>0</v>
      </c>
      <c r="BO41" s="26">
        <f t="shared" si="233"/>
        <v>0</v>
      </c>
      <c r="BP41" s="26">
        <f t="shared" si="233"/>
        <v>0</v>
      </c>
      <c r="BQ41" s="26">
        <f t="shared" si="233"/>
        <v>0</v>
      </c>
      <c r="BR41" s="26">
        <f t="shared" si="233"/>
        <v>0</v>
      </c>
      <c r="BS41" s="26">
        <f t="shared" si="233"/>
        <v>0</v>
      </c>
      <c r="BT41" s="19">
        <v>1.1000000000000001</v>
      </c>
      <c r="BU41" s="26">
        <f t="shared" si="224"/>
        <v>0</v>
      </c>
      <c r="BV41" s="26">
        <f t="shared" ref="BV41:CF41" si="234">BU41</f>
        <v>0</v>
      </c>
      <c r="BW41" s="26">
        <f t="shared" si="234"/>
        <v>0</v>
      </c>
      <c r="BX41" s="26">
        <f t="shared" si="234"/>
        <v>0</v>
      </c>
      <c r="BY41" s="26">
        <f t="shared" si="234"/>
        <v>0</v>
      </c>
      <c r="BZ41" s="26">
        <f t="shared" si="234"/>
        <v>0</v>
      </c>
      <c r="CA41" s="26">
        <f t="shared" si="234"/>
        <v>0</v>
      </c>
      <c r="CB41" s="26">
        <f t="shared" si="234"/>
        <v>0</v>
      </c>
      <c r="CC41" s="26">
        <f t="shared" si="234"/>
        <v>0</v>
      </c>
      <c r="CD41" s="26">
        <f t="shared" si="234"/>
        <v>0</v>
      </c>
      <c r="CE41" s="26">
        <f t="shared" si="234"/>
        <v>0</v>
      </c>
      <c r="CF41" s="26">
        <f t="shared" si="234"/>
        <v>0</v>
      </c>
    </row>
    <row r="42" spans="1:84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/>
      <c r="P42" s="26"/>
      <c r="Q42" s="26"/>
      <c r="R42" s="26"/>
      <c r="S42" s="26"/>
      <c r="T42" s="19">
        <v>1.1000000000000001</v>
      </c>
      <c r="U42" s="26">
        <f t="shared" si="217"/>
        <v>0</v>
      </c>
      <c r="V42" s="26">
        <f t="shared" ref="V42:AF42" si="235">U42</f>
        <v>0</v>
      </c>
      <c r="W42" s="26">
        <f t="shared" si="235"/>
        <v>0</v>
      </c>
      <c r="X42" s="26">
        <f t="shared" si="235"/>
        <v>0</v>
      </c>
      <c r="Y42" s="26">
        <f t="shared" si="235"/>
        <v>0</v>
      </c>
      <c r="Z42" s="26">
        <f t="shared" si="235"/>
        <v>0</v>
      </c>
      <c r="AA42" s="26">
        <f t="shared" si="235"/>
        <v>0</v>
      </c>
      <c r="AB42" s="26">
        <f t="shared" si="235"/>
        <v>0</v>
      </c>
      <c r="AC42" s="26">
        <f t="shared" si="235"/>
        <v>0</v>
      </c>
      <c r="AD42" s="26">
        <f t="shared" si="235"/>
        <v>0</v>
      </c>
      <c r="AE42" s="26">
        <f t="shared" si="235"/>
        <v>0</v>
      </c>
      <c r="AF42" s="26">
        <f t="shared" si="235"/>
        <v>0</v>
      </c>
      <c r="AG42" s="19">
        <v>1.1000000000000001</v>
      </c>
      <c r="AH42" s="26">
        <f t="shared" si="227"/>
        <v>0</v>
      </c>
      <c r="AI42" s="26">
        <f t="shared" si="202"/>
        <v>0</v>
      </c>
      <c r="AJ42" s="26">
        <f t="shared" si="202"/>
        <v>0</v>
      </c>
      <c r="AK42" s="26">
        <f t="shared" si="202"/>
        <v>0</v>
      </c>
      <c r="AL42" s="26">
        <f t="shared" si="202"/>
        <v>0</v>
      </c>
      <c r="AM42" s="26">
        <f t="shared" si="202"/>
        <v>0</v>
      </c>
      <c r="AN42" s="26">
        <f t="shared" si="202"/>
        <v>0</v>
      </c>
      <c r="AO42" s="26">
        <f t="shared" si="202"/>
        <v>0</v>
      </c>
      <c r="AP42" s="26">
        <f t="shared" si="202"/>
        <v>0</v>
      </c>
      <c r="AQ42" s="26">
        <f t="shared" si="202"/>
        <v>0</v>
      </c>
      <c r="AR42" s="26">
        <f t="shared" si="202"/>
        <v>0</v>
      </c>
      <c r="AS42" s="26">
        <f t="shared" si="202"/>
        <v>0</v>
      </c>
      <c r="AT42" s="19">
        <v>1.1000000000000001</v>
      </c>
      <c r="AU42" s="26">
        <f t="shared" si="220"/>
        <v>0</v>
      </c>
      <c r="AV42" s="26">
        <f t="shared" ref="AV42:BF42" si="236">AU42</f>
        <v>0</v>
      </c>
      <c r="AW42" s="26">
        <f t="shared" si="236"/>
        <v>0</v>
      </c>
      <c r="AX42" s="26">
        <f t="shared" si="236"/>
        <v>0</v>
      </c>
      <c r="AY42" s="26">
        <f t="shared" si="236"/>
        <v>0</v>
      </c>
      <c r="AZ42" s="26">
        <f t="shared" si="236"/>
        <v>0</v>
      </c>
      <c r="BA42" s="26">
        <f t="shared" si="236"/>
        <v>0</v>
      </c>
      <c r="BB42" s="26">
        <f t="shared" si="236"/>
        <v>0</v>
      </c>
      <c r="BC42" s="26">
        <f t="shared" si="236"/>
        <v>0</v>
      </c>
      <c r="BD42" s="26">
        <f t="shared" si="236"/>
        <v>0</v>
      </c>
      <c r="BE42" s="26">
        <f t="shared" si="236"/>
        <v>0</v>
      </c>
      <c r="BF42" s="26">
        <f t="shared" si="236"/>
        <v>0</v>
      </c>
      <c r="BG42" s="19">
        <v>1.1000000000000001</v>
      </c>
      <c r="BH42" s="26">
        <f t="shared" si="222"/>
        <v>0</v>
      </c>
      <c r="BI42" s="26">
        <f t="shared" ref="BI42:BS42" si="237">BH42</f>
        <v>0</v>
      </c>
      <c r="BJ42" s="26">
        <f t="shared" si="237"/>
        <v>0</v>
      </c>
      <c r="BK42" s="26">
        <f t="shared" si="237"/>
        <v>0</v>
      </c>
      <c r="BL42" s="26">
        <f t="shared" si="237"/>
        <v>0</v>
      </c>
      <c r="BM42" s="26">
        <f t="shared" si="237"/>
        <v>0</v>
      </c>
      <c r="BN42" s="26">
        <f t="shared" si="237"/>
        <v>0</v>
      </c>
      <c r="BO42" s="26">
        <f t="shared" si="237"/>
        <v>0</v>
      </c>
      <c r="BP42" s="26">
        <f t="shared" si="237"/>
        <v>0</v>
      </c>
      <c r="BQ42" s="26">
        <f t="shared" si="237"/>
        <v>0</v>
      </c>
      <c r="BR42" s="26">
        <f t="shared" si="237"/>
        <v>0</v>
      </c>
      <c r="BS42" s="26">
        <f t="shared" si="237"/>
        <v>0</v>
      </c>
      <c r="BT42" s="19">
        <v>1.1000000000000001</v>
      </c>
      <c r="BU42" s="26">
        <f t="shared" si="224"/>
        <v>0</v>
      </c>
      <c r="BV42" s="26">
        <f t="shared" ref="BV42:CF42" si="238">BU42</f>
        <v>0</v>
      </c>
      <c r="BW42" s="26">
        <f t="shared" si="238"/>
        <v>0</v>
      </c>
      <c r="BX42" s="26">
        <f t="shared" si="238"/>
        <v>0</v>
      </c>
      <c r="BY42" s="26">
        <f t="shared" si="238"/>
        <v>0</v>
      </c>
      <c r="BZ42" s="26">
        <f t="shared" si="238"/>
        <v>0</v>
      </c>
      <c r="CA42" s="26">
        <f t="shared" si="238"/>
        <v>0</v>
      </c>
      <c r="CB42" s="26">
        <f t="shared" si="238"/>
        <v>0</v>
      </c>
      <c r="CC42" s="26">
        <f t="shared" si="238"/>
        <v>0</v>
      </c>
      <c r="CD42" s="26">
        <f t="shared" si="238"/>
        <v>0</v>
      </c>
      <c r="CE42" s="26">
        <f t="shared" si="238"/>
        <v>0</v>
      </c>
      <c r="CF42" s="26">
        <f t="shared" si="238"/>
        <v>0</v>
      </c>
    </row>
    <row r="43" spans="1:84" ht="15" thickBot="1">
      <c r="A43" s="19" t="s">
        <v>56</v>
      </c>
      <c r="B43" s="5" t="s">
        <v>589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17"/>
        <v>0</v>
      </c>
      <c r="V43" s="26">
        <f t="shared" ref="V43:AF43" si="239">U43</f>
        <v>0</v>
      </c>
      <c r="W43" s="26">
        <f t="shared" si="239"/>
        <v>0</v>
      </c>
      <c r="X43" s="26">
        <f t="shared" si="239"/>
        <v>0</v>
      </c>
      <c r="Y43" s="26">
        <f t="shared" si="239"/>
        <v>0</v>
      </c>
      <c r="Z43" s="26">
        <f t="shared" si="239"/>
        <v>0</v>
      </c>
      <c r="AA43" s="26">
        <f t="shared" si="239"/>
        <v>0</v>
      </c>
      <c r="AB43" s="26">
        <f t="shared" si="239"/>
        <v>0</v>
      </c>
      <c r="AC43" s="26">
        <f t="shared" si="239"/>
        <v>0</v>
      </c>
      <c r="AD43" s="26">
        <f t="shared" si="239"/>
        <v>0</v>
      </c>
      <c r="AE43" s="26">
        <f t="shared" si="239"/>
        <v>0</v>
      </c>
      <c r="AF43" s="26">
        <f t="shared" si="239"/>
        <v>0</v>
      </c>
      <c r="AG43" s="19">
        <v>1.1000000000000001</v>
      </c>
      <c r="AH43" s="26">
        <f t="shared" si="227"/>
        <v>0</v>
      </c>
      <c r="AI43" s="26">
        <f t="shared" si="202"/>
        <v>0</v>
      </c>
      <c r="AJ43" s="26">
        <f t="shared" si="202"/>
        <v>0</v>
      </c>
      <c r="AK43" s="26">
        <f t="shared" si="202"/>
        <v>0</v>
      </c>
      <c r="AL43" s="26">
        <f t="shared" si="202"/>
        <v>0</v>
      </c>
      <c r="AM43" s="26">
        <f t="shared" si="202"/>
        <v>0</v>
      </c>
      <c r="AN43" s="26">
        <f t="shared" si="202"/>
        <v>0</v>
      </c>
      <c r="AO43" s="26">
        <f t="shared" si="202"/>
        <v>0</v>
      </c>
      <c r="AP43" s="26">
        <f t="shared" si="202"/>
        <v>0</v>
      </c>
      <c r="AQ43" s="26">
        <f t="shared" si="202"/>
        <v>0</v>
      </c>
      <c r="AR43" s="26">
        <f t="shared" si="202"/>
        <v>0</v>
      </c>
      <c r="AS43" s="26">
        <f t="shared" si="202"/>
        <v>0</v>
      </c>
      <c r="AT43" s="19">
        <v>1.1000000000000001</v>
      </c>
      <c r="AU43" s="26">
        <f t="shared" si="220"/>
        <v>0</v>
      </c>
      <c r="AV43" s="26">
        <f t="shared" ref="AV43:BF43" si="240">AU43</f>
        <v>0</v>
      </c>
      <c r="AW43" s="26">
        <f t="shared" si="240"/>
        <v>0</v>
      </c>
      <c r="AX43" s="26">
        <f t="shared" si="240"/>
        <v>0</v>
      </c>
      <c r="AY43" s="26">
        <f t="shared" si="240"/>
        <v>0</v>
      </c>
      <c r="AZ43" s="26">
        <f t="shared" si="240"/>
        <v>0</v>
      </c>
      <c r="BA43" s="26">
        <f t="shared" si="240"/>
        <v>0</v>
      </c>
      <c r="BB43" s="26">
        <f t="shared" si="240"/>
        <v>0</v>
      </c>
      <c r="BC43" s="26">
        <f t="shared" si="240"/>
        <v>0</v>
      </c>
      <c r="BD43" s="26">
        <f t="shared" si="240"/>
        <v>0</v>
      </c>
      <c r="BE43" s="26">
        <f t="shared" si="240"/>
        <v>0</v>
      </c>
      <c r="BF43" s="26">
        <f t="shared" si="240"/>
        <v>0</v>
      </c>
      <c r="BG43" s="19">
        <v>1.1000000000000001</v>
      </c>
      <c r="BH43" s="26">
        <f t="shared" si="222"/>
        <v>0</v>
      </c>
      <c r="BI43" s="26">
        <f t="shared" ref="BI43:BS43" si="241">BH43</f>
        <v>0</v>
      </c>
      <c r="BJ43" s="26">
        <f t="shared" si="241"/>
        <v>0</v>
      </c>
      <c r="BK43" s="26">
        <f t="shared" si="241"/>
        <v>0</v>
      </c>
      <c r="BL43" s="26">
        <f t="shared" si="241"/>
        <v>0</v>
      </c>
      <c r="BM43" s="26">
        <f t="shared" si="241"/>
        <v>0</v>
      </c>
      <c r="BN43" s="26">
        <f t="shared" si="241"/>
        <v>0</v>
      </c>
      <c r="BO43" s="26">
        <f t="shared" si="241"/>
        <v>0</v>
      </c>
      <c r="BP43" s="26">
        <f t="shared" si="241"/>
        <v>0</v>
      </c>
      <c r="BQ43" s="26">
        <f t="shared" si="241"/>
        <v>0</v>
      </c>
      <c r="BR43" s="26">
        <f t="shared" si="241"/>
        <v>0</v>
      </c>
      <c r="BS43" s="26">
        <f t="shared" si="241"/>
        <v>0</v>
      </c>
      <c r="BT43" s="19">
        <v>1.1000000000000001</v>
      </c>
      <c r="BU43" s="26">
        <f t="shared" si="224"/>
        <v>0</v>
      </c>
      <c r="BV43" s="26">
        <f t="shared" ref="BV43:CF43" si="242">BU43</f>
        <v>0</v>
      </c>
      <c r="BW43" s="26">
        <f t="shared" si="242"/>
        <v>0</v>
      </c>
      <c r="BX43" s="26">
        <f t="shared" si="242"/>
        <v>0</v>
      </c>
      <c r="BY43" s="26">
        <f t="shared" si="242"/>
        <v>0</v>
      </c>
      <c r="BZ43" s="26">
        <f t="shared" si="242"/>
        <v>0</v>
      </c>
      <c r="CA43" s="26">
        <f t="shared" si="242"/>
        <v>0</v>
      </c>
      <c r="CB43" s="26">
        <f t="shared" si="242"/>
        <v>0</v>
      </c>
      <c r="CC43" s="26">
        <f t="shared" si="242"/>
        <v>0</v>
      </c>
      <c r="CD43" s="26">
        <f t="shared" si="242"/>
        <v>0</v>
      </c>
      <c r="CE43" s="26">
        <f t="shared" si="242"/>
        <v>0</v>
      </c>
      <c r="CF43" s="26">
        <f t="shared" si="242"/>
        <v>0</v>
      </c>
    </row>
    <row r="44" spans="1:84" ht="15" thickBot="1">
      <c r="A44" s="19" t="s">
        <v>57</v>
      </c>
      <c r="B44" s="5" t="s">
        <v>176</v>
      </c>
      <c r="D44" s="26">
        <v>0</v>
      </c>
      <c r="E44" s="26">
        <v>0</v>
      </c>
      <c r="F44" s="26">
        <v>0</v>
      </c>
      <c r="G44" s="26">
        <v>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17"/>
        <v>0</v>
      </c>
      <c r="V44" s="26">
        <f t="shared" ref="V44:AF44" si="243">U44</f>
        <v>0</v>
      </c>
      <c r="W44" s="26">
        <f t="shared" si="243"/>
        <v>0</v>
      </c>
      <c r="X44" s="26">
        <f t="shared" si="243"/>
        <v>0</v>
      </c>
      <c r="Y44" s="26">
        <f t="shared" si="243"/>
        <v>0</v>
      </c>
      <c r="Z44" s="26">
        <f t="shared" si="243"/>
        <v>0</v>
      </c>
      <c r="AA44" s="26">
        <f t="shared" si="243"/>
        <v>0</v>
      </c>
      <c r="AB44" s="26">
        <f t="shared" si="243"/>
        <v>0</v>
      </c>
      <c r="AC44" s="26">
        <f t="shared" si="243"/>
        <v>0</v>
      </c>
      <c r="AD44" s="26">
        <f t="shared" si="243"/>
        <v>0</v>
      </c>
      <c r="AE44" s="26">
        <f t="shared" si="243"/>
        <v>0</v>
      </c>
      <c r="AF44" s="26">
        <f t="shared" si="243"/>
        <v>0</v>
      </c>
      <c r="AG44" s="19">
        <v>1.1000000000000001</v>
      </c>
      <c r="AH44" s="26">
        <f t="shared" si="227"/>
        <v>0</v>
      </c>
      <c r="AI44" s="26">
        <f t="shared" si="202"/>
        <v>0</v>
      </c>
      <c r="AJ44" s="26">
        <f t="shared" si="202"/>
        <v>0</v>
      </c>
      <c r="AK44" s="26">
        <f t="shared" si="202"/>
        <v>0</v>
      </c>
      <c r="AL44" s="26">
        <f t="shared" si="202"/>
        <v>0</v>
      </c>
      <c r="AM44" s="26">
        <f t="shared" si="202"/>
        <v>0</v>
      </c>
      <c r="AN44" s="26">
        <f t="shared" si="202"/>
        <v>0</v>
      </c>
      <c r="AO44" s="26">
        <f t="shared" si="202"/>
        <v>0</v>
      </c>
      <c r="AP44" s="26">
        <f t="shared" si="202"/>
        <v>0</v>
      </c>
      <c r="AQ44" s="26">
        <f t="shared" si="202"/>
        <v>0</v>
      </c>
      <c r="AR44" s="26">
        <f t="shared" si="202"/>
        <v>0</v>
      </c>
      <c r="AS44" s="26">
        <f t="shared" si="202"/>
        <v>0</v>
      </c>
      <c r="AT44" s="19">
        <v>1.1000000000000001</v>
      </c>
      <c r="AU44" s="26">
        <f t="shared" si="220"/>
        <v>0</v>
      </c>
      <c r="AV44" s="26">
        <f t="shared" ref="AV44:BF44" si="244">AU44</f>
        <v>0</v>
      </c>
      <c r="AW44" s="26">
        <f t="shared" si="244"/>
        <v>0</v>
      </c>
      <c r="AX44" s="26">
        <f t="shared" si="244"/>
        <v>0</v>
      </c>
      <c r="AY44" s="26">
        <f t="shared" si="244"/>
        <v>0</v>
      </c>
      <c r="AZ44" s="26">
        <f t="shared" si="244"/>
        <v>0</v>
      </c>
      <c r="BA44" s="26">
        <f t="shared" si="244"/>
        <v>0</v>
      </c>
      <c r="BB44" s="26">
        <f t="shared" si="244"/>
        <v>0</v>
      </c>
      <c r="BC44" s="26">
        <f t="shared" si="244"/>
        <v>0</v>
      </c>
      <c r="BD44" s="26">
        <f t="shared" si="244"/>
        <v>0</v>
      </c>
      <c r="BE44" s="26">
        <f t="shared" si="244"/>
        <v>0</v>
      </c>
      <c r="BF44" s="26">
        <f t="shared" si="244"/>
        <v>0</v>
      </c>
      <c r="BG44" s="19">
        <v>1.1000000000000001</v>
      </c>
      <c r="BH44" s="26">
        <f t="shared" si="222"/>
        <v>0</v>
      </c>
      <c r="BI44" s="26">
        <f t="shared" ref="BI44:BS44" si="245">BH44</f>
        <v>0</v>
      </c>
      <c r="BJ44" s="26">
        <f t="shared" si="245"/>
        <v>0</v>
      </c>
      <c r="BK44" s="26">
        <f t="shared" si="245"/>
        <v>0</v>
      </c>
      <c r="BL44" s="26">
        <f t="shared" si="245"/>
        <v>0</v>
      </c>
      <c r="BM44" s="26">
        <f t="shared" si="245"/>
        <v>0</v>
      </c>
      <c r="BN44" s="26">
        <f t="shared" si="245"/>
        <v>0</v>
      </c>
      <c r="BO44" s="26">
        <f t="shared" si="245"/>
        <v>0</v>
      </c>
      <c r="BP44" s="26">
        <f t="shared" si="245"/>
        <v>0</v>
      </c>
      <c r="BQ44" s="26">
        <f t="shared" si="245"/>
        <v>0</v>
      </c>
      <c r="BR44" s="26">
        <f t="shared" si="245"/>
        <v>0</v>
      </c>
      <c r="BS44" s="26">
        <f t="shared" si="245"/>
        <v>0</v>
      </c>
      <c r="BT44" s="19">
        <v>1.1000000000000001</v>
      </c>
      <c r="BU44" s="26">
        <f t="shared" si="224"/>
        <v>0</v>
      </c>
      <c r="BV44" s="26">
        <f t="shared" ref="BV44:CF44" si="246">BU44</f>
        <v>0</v>
      </c>
      <c r="BW44" s="26">
        <f t="shared" si="246"/>
        <v>0</v>
      </c>
      <c r="BX44" s="26">
        <f t="shared" si="246"/>
        <v>0</v>
      </c>
      <c r="BY44" s="26">
        <f t="shared" si="246"/>
        <v>0</v>
      </c>
      <c r="BZ44" s="26">
        <f t="shared" si="246"/>
        <v>0</v>
      </c>
      <c r="CA44" s="26">
        <f t="shared" si="246"/>
        <v>0</v>
      </c>
      <c r="CB44" s="26">
        <f t="shared" si="246"/>
        <v>0</v>
      </c>
      <c r="CC44" s="26">
        <f t="shared" si="246"/>
        <v>0</v>
      </c>
      <c r="CD44" s="26">
        <f t="shared" si="246"/>
        <v>0</v>
      </c>
      <c r="CE44" s="26">
        <f t="shared" si="246"/>
        <v>0</v>
      </c>
      <c r="CF44" s="26">
        <f t="shared" si="246"/>
        <v>0</v>
      </c>
    </row>
    <row r="45" spans="1:84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17"/>
        <v>0</v>
      </c>
      <c r="V45" s="26">
        <f t="shared" ref="V45:AF45" si="247">U45</f>
        <v>0</v>
      </c>
      <c r="W45" s="26">
        <f t="shared" si="247"/>
        <v>0</v>
      </c>
      <c r="X45" s="26">
        <f t="shared" si="247"/>
        <v>0</v>
      </c>
      <c r="Y45" s="26">
        <f t="shared" si="247"/>
        <v>0</v>
      </c>
      <c r="Z45" s="26">
        <f t="shared" si="247"/>
        <v>0</v>
      </c>
      <c r="AA45" s="26">
        <f t="shared" si="247"/>
        <v>0</v>
      </c>
      <c r="AB45" s="26">
        <f t="shared" si="247"/>
        <v>0</v>
      </c>
      <c r="AC45" s="26">
        <f t="shared" si="247"/>
        <v>0</v>
      </c>
      <c r="AD45" s="26">
        <f t="shared" si="247"/>
        <v>0</v>
      </c>
      <c r="AE45" s="26">
        <f t="shared" si="247"/>
        <v>0</v>
      </c>
      <c r="AF45" s="26">
        <f t="shared" si="247"/>
        <v>0</v>
      </c>
      <c r="AG45" s="19">
        <v>1.1000000000000001</v>
      </c>
      <c r="AH45" s="26">
        <f t="shared" si="227"/>
        <v>0</v>
      </c>
      <c r="AI45" s="26">
        <f t="shared" si="202"/>
        <v>0</v>
      </c>
      <c r="AJ45" s="26">
        <f t="shared" si="202"/>
        <v>0</v>
      </c>
      <c r="AK45" s="26">
        <f t="shared" si="202"/>
        <v>0</v>
      </c>
      <c r="AL45" s="26">
        <f t="shared" si="202"/>
        <v>0</v>
      </c>
      <c r="AM45" s="26">
        <f t="shared" si="202"/>
        <v>0</v>
      </c>
      <c r="AN45" s="26">
        <f t="shared" si="202"/>
        <v>0</v>
      </c>
      <c r="AO45" s="26">
        <f t="shared" si="202"/>
        <v>0</v>
      </c>
      <c r="AP45" s="26">
        <f t="shared" si="202"/>
        <v>0</v>
      </c>
      <c r="AQ45" s="26">
        <f t="shared" si="202"/>
        <v>0</v>
      </c>
      <c r="AR45" s="26">
        <f t="shared" si="202"/>
        <v>0</v>
      </c>
      <c r="AS45" s="26">
        <f t="shared" si="202"/>
        <v>0</v>
      </c>
      <c r="AT45" s="19">
        <v>1.1000000000000001</v>
      </c>
      <c r="AU45" s="26">
        <f t="shared" si="220"/>
        <v>0</v>
      </c>
      <c r="AV45" s="26">
        <f t="shared" ref="AV45:BF45" si="248">AU45</f>
        <v>0</v>
      </c>
      <c r="AW45" s="26">
        <f t="shared" si="248"/>
        <v>0</v>
      </c>
      <c r="AX45" s="26">
        <f t="shared" si="248"/>
        <v>0</v>
      </c>
      <c r="AY45" s="26">
        <f t="shared" si="248"/>
        <v>0</v>
      </c>
      <c r="AZ45" s="26">
        <f t="shared" si="248"/>
        <v>0</v>
      </c>
      <c r="BA45" s="26">
        <f t="shared" si="248"/>
        <v>0</v>
      </c>
      <c r="BB45" s="26">
        <f t="shared" si="248"/>
        <v>0</v>
      </c>
      <c r="BC45" s="26">
        <f t="shared" si="248"/>
        <v>0</v>
      </c>
      <c r="BD45" s="26">
        <f t="shared" si="248"/>
        <v>0</v>
      </c>
      <c r="BE45" s="26">
        <f t="shared" si="248"/>
        <v>0</v>
      </c>
      <c r="BF45" s="26">
        <f t="shared" si="248"/>
        <v>0</v>
      </c>
      <c r="BG45" s="19">
        <v>1.1000000000000001</v>
      </c>
      <c r="BH45" s="26">
        <f t="shared" si="222"/>
        <v>0</v>
      </c>
      <c r="BI45" s="26">
        <f t="shared" ref="BI45:BS45" si="249">BH45</f>
        <v>0</v>
      </c>
      <c r="BJ45" s="26">
        <f t="shared" si="249"/>
        <v>0</v>
      </c>
      <c r="BK45" s="26">
        <f t="shared" si="249"/>
        <v>0</v>
      </c>
      <c r="BL45" s="26">
        <f t="shared" si="249"/>
        <v>0</v>
      </c>
      <c r="BM45" s="26">
        <f t="shared" si="249"/>
        <v>0</v>
      </c>
      <c r="BN45" s="26">
        <f t="shared" si="249"/>
        <v>0</v>
      </c>
      <c r="BO45" s="26">
        <f t="shared" si="249"/>
        <v>0</v>
      </c>
      <c r="BP45" s="26">
        <f t="shared" si="249"/>
        <v>0</v>
      </c>
      <c r="BQ45" s="26">
        <f t="shared" si="249"/>
        <v>0</v>
      </c>
      <c r="BR45" s="26">
        <f t="shared" si="249"/>
        <v>0</v>
      </c>
      <c r="BS45" s="26">
        <f t="shared" si="249"/>
        <v>0</v>
      </c>
      <c r="BT45" s="19">
        <v>1.1000000000000001</v>
      </c>
      <c r="BU45" s="26">
        <f t="shared" si="224"/>
        <v>0</v>
      </c>
      <c r="BV45" s="26">
        <f t="shared" ref="BV45:CF45" si="250">BU45</f>
        <v>0</v>
      </c>
      <c r="BW45" s="26">
        <f t="shared" si="250"/>
        <v>0</v>
      </c>
      <c r="BX45" s="26">
        <f t="shared" si="250"/>
        <v>0</v>
      </c>
      <c r="BY45" s="26">
        <f t="shared" si="250"/>
        <v>0</v>
      </c>
      <c r="BZ45" s="26">
        <f t="shared" si="250"/>
        <v>0</v>
      </c>
      <c r="CA45" s="26">
        <f t="shared" si="250"/>
        <v>0</v>
      </c>
      <c r="CB45" s="26">
        <f t="shared" si="250"/>
        <v>0</v>
      </c>
      <c r="CC45" s="26">
        <f t="shared" si="250"/>
        <v>0</v>
      </c>
      <c r="CD45" s="26">
        <f t="shared" si="250"/>
        <v>0</v>
      </c>
      <c r="CE45" s="26">
        <f t="shared" si="250"/>
        <v>0</v>
      </c>
      <c r="CF45" s="26">
        <f t="shared" si="250"/>
        <v>0</v>
      </c>
    </row>
    <row r="46" spans="1:84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51">SUM(E47:E49)</f>
        <v>0</v>
      </c>
      <c r="F46" s="40">
        <f t="shared" si="251"/>
        <v>1000</v>
      </c>
      <c r="G46" s="40">
        <f t="shared" si="251"/>
        <v>1000</v>
      </c>
      <c r="H46" s="40">
        <f>SUM(H47:H49)</f>
        <v>1000</v>
      </c>
      <c r="I46" s="40">
        <f t="shared" ref="I46:N46" si="252">SUM(I47:I49)</f>
        <v>1000</v>
      </c>
      <c r="J46" s="40">
        <f t="shared" si="252"/>
        <v>1000</v>
      </c>
      <c r="K46" s="40">
        <f t="shared" si="252"/>
        <v>1000</v>
      </c>
      <c r="L46" s="40">
        <f t="shared" si="252"/>
        <v>1000</v>
      </c>
      <c r="M46" s="40">
        <f t="shared" si="252"/>
        <v>1000</v>
      </c>
      <c r="N46" s="40">
        <f t="shared" si="252"/>
        <v>1000</v>
      </c>
      <c r="O46" s="40"/>
      <c r="P46" s="40"/>
      <c r="Q46" s="40"/>
      <c r="R46" s="40"/>
      <c r="S46" s="40"/>
      <c r="T46" s="5"/>
      <c r="U46" s="40">
        <f>SUM(U47:U49)</f>
        <v>1100</v>
      </c>
      <c r="V46" s="40">
        <f t="shared" ref="V46:AF46" si="253">SUM(V47:V49)</f>
        <v>1100</v>
      </c>
      <c r="W46" s="40">
        <f t="shared" si="253"/>
        <v>1100</v>
      </c>
      <c r="X46" s="40">
        <f t="shared" si="253"/>
        <v>1100</v>
      </c>
      <c r="Y46" s="40">
        <f t="shared" si="253"/>
        <v>1100</v>
      </c>
      <c r="Z46" s="40">
        <f t="shared" si="253"/>
        <v>1100</v>
      </c>
      <c r="AA46" s="40">
        <f t="shared" si="253"/>
        <v>1100</v>
      </c>
      <c r="AB46" s="40">
        <f t="shared" si="253"/>
        <v>1100</v>
      </c>
      <c r="AC46" s="40">
        <f t="shared" si="253"/>
        <v>1100</v>
      </c>
      <c r="AD46" s="40">
        <f t="shared" si="253"/>
        <v>1100</v>
      </c>
      <c r="AE46" s="40">
        <f t="shared" si="253"/>
        <v>1100</v>
      </c>
      <c r="AF46" s="40">
        <f t="shared" si="253"/>
        <v>1100</v>
      </c>
      <c r="AG46" s="5"/>
      <c r="AH46" s="40">
        <f>SUM(AH47:AH49)</f>
        <v>1210</v>
      </c>
      <c r="AI46" s="40">
        <f t="shared" ref="AI46:AS46" si="254">SUM(AI47:AI49)</f>
        <v>1210</v>
      </c>
      <c r="AJ46" s="40">
        <f t="shared" si="254"/>
        <v>1210</v>
      </c>
      <c r="AK46" s="40">
        <f t="shared" si="254"/>
        <v>1210</v>
      </c>
      <c r="AL46" s="40">
        <f t="shared" si="254"/>
        <v>1210</v>
      </c>
      <c r="AM46" s="40">
        <f t="shared" si="254"/>
        <v>1210</v>
      </c>
      <c r="AN46" s="40">
        <f t="shared" si="254"/>
        <v>1210</v>
      </c>
      <c r="AO46" s="40">
        <f t="shared" si="254"/>
        <v>1210</v>
      </c>
      <c r="AP46" s="40">
        <f t="shared" si="254"/>
        <v>1210</v>
      </c>
      <c r="AQ46" s="40">
        <f t="shared" si="254"/>
        <v>1210</v>
      </c>
      <c r="AR46" s="40">
        <f t="shared" si="254"/>
        <v>1210</v>
      </c>
      <c r="AS46" s="40">
        <f t="shared" si="254"/>
        <v>1210</v>
      </c>
      <c r="AT46" s="5"/>
      <c r="AU46" s="40">
        <f>SUM(AU47:AU49)</f>
        <v>1331</v>
      </c>
      <c r="AV46" s="40">
        <f t="shared" ref="AV46" si="255">SUM(AV47:AV49)</f>
        <v>1331</v>
      </c>
      <c r="AW46" s="40">
        <f t="shared" ref="AW46:BF46" si="256">SUM(AW47:AW49)</f>
        <v>1331</v>
      </c>
      <c r="AX46" s="40">
        <f t="shared" si="256"/>
        <v>1331</v>
      </c>
      <c r="AY46" s="40">
        <f t="shared" si="256"/>
        <v>1331</v>
      </c>
      <c r="AZ46" s="40">
        <f t="shared" si="256"/>
        <v>1331</v>
      </c>
      <c r="BA46" s="40">
        <f t="shared" si="256"/>
        <v>1331</v>
      </c>
      <c r="BB46" s="40">
        <f t="shared" si="256"/>
        <v>1331</v>
      </c>
      <c r="BC46" s="40">
        <f t="shared" si="256"/>
        <v>1331</v>
      </c>
      <c r="BD46" s="40">
        <f t="shared" si="256"/>
        <v>1331</v>
      </c>
      <c r="BE46" s="40">
        <f t="shared" si="256"/>
        <v>1331</v>
      </c>
      <c r="BF46" s="40">
        <f t="shared" si="256"/>
        <v>1331</v>
      </c>
      <c r="BG46" s="5"/>
      <c r="BH46" s="40">
        <f>SUM(BH47:BH49)</f>
        <v>1464.1000000000001</v>
      </c>
      <c r="BI46" s="40">
        <f t="shared" ref="BI46" si="257">SUM(BI47:BI49)</f>
        <v>1464.1000000000001</v>
      </c>
      <c r="BJ46" s="40">
        <f t="shared" ref="BJ46:BS46" si="258">SUM(BJ47:BJ49)</f>
        <v>1464.1000000000001</v>
      </c>
      <c r="BK46" s="40">
        <f t="shared" si="258"/>
        <v>1464.1000000000001</v>
      </c>
      <c r="BL46" s="40">
        <f t="shared" si="258"/>
        <v>1464.1000000000001</v>
      </c>
      <c r="BM46" s="40">
        <f t="shared" si="258"/>
        <v>1464.1000000000001</v>
      </c>
      <c r="BN46" s="40">
        <f t="shared" si="258"/>
        <v>1464.1000000000001</v>
      </c>
      <c r="BO46" s="40">
        <f t="shared" si="258"/>
        <v>1464.1000000000001</v>
      </c>
      <c r="BP46" s="40">
        <f t="shared" si="258"/>
        <v>1464.1000000000001</v>
      </c>
      <c r="BQ46" s="40">
        <f t="shared" si="258"/>
        <v>1464.1000000000001</v>
      </c>
      <c r="BR46" s="40">
        <f t="shared" si="258"/>
        <v>1464.1000000000001</v>
      </c>
      <c r="BS46" s="40">
        <f t="shared" si="258"/>
        <v>1464.1000000000001</v>
      </c>
      <c r="BT46" s="5"/>
      <c r="BU46" s="40">
        <f>SUM(BU47:BU49)</f>
        <v>1610.5100000000002</v>
      </c>
      <c r="BV46" s="40">
        <f t="shared" ref="BV46" si="259">SUM(BV47:BV49)</f>
        <v>1610.5100000000002</v>
      </c>
      <c r="BW46" s="40">
        <f t="shared" ref="BW46:CF46" si="260">SUM(BW47:BW49)</f>
        <v>1610.5100000000002</v>
      </c>
      <c r="BX46" s="40">
        <f t="shared" si="260"/>
        <v>1610.5100000000002</v>
      </c>
      <c r="BY46" s="40">
        <f t="shared" si="260"/>
        <v>1610.5100000000002</v>
      </c>
      <c r="BZ46" s="40">
        <f t="shared" si="260"/>
        <v>1610.5100000000002</v>
      </c>
      <c r="CA46" s="40">
        <f t="shared" si="260"/>
        <v>1610.5100000000002</v>
      </c>
      <c r="CB46" s="40">
        <f t="shared" si="260"/>
        <v>1610.5100000000002</v>
      </c>
      <c r="CC46" s="40">
        <f t="shared" si="260"/>
        <v>1610.5100000000002</v>
      </c>
      <c r="CD46" s="40">
        <f t="shared" si="260"/>
        <v>1610.5100000000002</v>
      </c>
      <c r="CE46" s="40">
        <f t="shared" si="260"/>
        <v>1610.5100000000002</v>
      </c>
      <c r="CF46" s="40">
        <f t="shared" si="260"/>
        <v>1610.5100000000002</v>
      </c>
    </row>
    <row r="47" spans="1:84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/>
      <c r="P47" s="26"/>
      <c r="Q47" s="26"/>
      <c r="R47" s="26"/>
      <c r="S47" s="26"/>
      <c r="T47" s="19">
        <v>1.1000000000000001</v>
      </c>
      <c r="U47" s="26">
        <f>N47*T47</f>
        <v>1100</v>
      </c>
      <c r="V47" s="26">
        <f t="shared" ref="V47:AF47" si="261">U47</f>
        <v>1100</v>
      </c>
      <c r="W47" s="26">
        <f t="shared" si="261"/>
        <v>1100</v>
      </c>
      <c r="X47" s="26">
        <f t="shared" si="261"/>
        <v>1100</v>
      </c>
      <c r="Y47" s="26">
        <f t="shared" si="261"/>
        <v>1100</v>
      </c>
      <c r="Z47" s="26">
        <f t="shared" si="261"/>
        <v>1100</v>
      </c>
      <c r="AA47" s="26">
        <f t="shared" si="261"/>
        <v>1100</v>
      </c>
      <c r="AB47" s="26">
        <f t="shared" si="261"/>
        <v>1100</v>
      </c>
      <c r="AC47" s="26">
        <f t="shared" si="261"/>
        <v>1100</v>
      </c>
      <c r="AD47" s="26">
        <f t="shared" si="261"/>
        <v>1100</v>
      </c>
      <c r="AE47" s="26">
        <f t="shared" si="261"/>
        <v>1100</v>
      </c>
      <c r="AF47" s="26">
        <f t="shared" si="261"/>
        <v>1100</v>
      </c>
      <c r="AG47" s="19">
        <v>1.1000000000000001</v>
      </c>
      <c r="AH47" s="26">
        <f t="shared" ref="AH47" si="262">AF47*AG47</f>
        <v>1210</v>
      </c>
      <c r="AI47" s="26">
        <f t="shared" si="202"/>
        <v>1210</v>
      </c>
      <c r="AJ47" s="26">
        <f t="shared" si="202"/>
        <v>1210</v>
      </c>
      <c r="AK47" s="26">
        <f t="shared" si="202"/>
        <v>1210</v>
      </c>
      <c r="AL47" s="26">
        <f t="shared" si="202"/>
        <v>1210</v>
      </c>
      <c r="AM47" s="26">
        <f t="shared" si="202"/>
        <v>1210</v>
      </c>
      <c r="AN47" s="26">
        <f t="shared" si="202"/>
        <v>1210</v>
      </c>
      <c r="AO47" s="26">
        <f t="shared" si="202"/>
        <v>1210</v>
      </c>
      <c r="AP47" s="26">
        <f t="shared" si="202"/>
        <v>1210</v>
      </c>
      <c r="AQ47" s="26">
        <f t="shared" si="202"/>
        <v>1210</v>
      </c>
      <c r="AR47" s="26">
        <f t="shared" si="202"/>
        <v>1210</v>
      </c>
      <c r="AS47" s="26">
        <f t="shared" si="202"/>
        <v>1210</v>
      </c>
      <c r="AT47" s="19">
        <v>1.1000000000000001</v>
      </c>
      <c r="AU47" s="26">
        <f t="shared" ref="AU47" si="263">AS47*AT47</f>
        <v>1331</v>
      </c>
      <c r="AV47" s="26">
        <f t="shared" ref="AV47:BF47" si="264">AU47</f>
        <v>1331</v>
      </c>
      <c r="AW47" s="26">
        <f t="shared" si="264"/>
        <v>1331</v>
      </c>
      <c r="AX47" s="26">
        <f t="shared" si="264"/>
        <v>1331</v>
      </c>
      <c r="AY47" s="26">
        <f t="shared" si="264"/>
        <v>1331</v>
      </c>
      <c r="AZ47" s="26">
        <f t="shared" si="264"/>
        <v>1331</v>
      </c>
      <c r="BA47" s="26">
        <f t="shared" si="264"/>
        <v>1331</v>
      </c>
      <c r="BB47" s="26">
        <f t="shared" si="264"/>
        <v>1331</v>
      </c>
      <c r="BC47" s="26">
        <f t="shared" si="264"/>
        <v>1331</v>
      </c>
      <c r="BD47" s="26">
        <f t="shared" si="264"/>
        <v>1331</v>
      </c>
      <c r="BE47" s="26">
        <f t="shared" si="264"/>
        <v>1331</v>
      </c>
      <c r="BF47" s="26">
        <f t="shared" si="264"/>
        <v>1331</v>
      </c>
      <c r="BG47" s="19">
        <v>1.1000000000000001</v>
      </c>
      <c r="BH47" s="26">
        <f t="shared" ref="BH47" si="265">BF47*BG47</f>
        <v>1464.1000000000001</v>
      </c>
      <c r="BI47" s="26">
        <f t="shared" ref="BI47:BS47" si="266">BH47</f>
        <v>1464.1000000000001</v>
      </c>
      <c r="BJ47" s="26">
        <f t="shared" si="266"/>
        <v>1464.1000000000001</v>
      </c>
      <c r="BK47" s="26">
        <f t="shared" si="266"/>
        <v>1464.1000000000001</v>
      </c>
      <c r="BL47" s="26">
        <f t="shared" si="266"/>
        <v>1464.1000000000001</v>
      </c>
      <c r="BM47" s="26">
        <f t="shared" si="266"/>
        <v>1464.1000000000001</v>
      </c>
      <c r="BN47" s="26">
        <f t="shared" si="266"/>
        <v>1464.1000000000001</v>
      </c>
      <c r="BO47" s="26">
        <f t="shared" si="266"/>
        <v>1464.1000000000001</v>
      </c>
      <c r="BP47" s="26">
        <f t="shared" si="266"/>
        <v>1464.1000000000001</v>
      </c>
      <c r="BQ47" s="26">
        <f t="shared" si="266"/>
        <v>1464.1000000000001</v>
      </c>
      <c r="BR47" s="26">
        <f t="shared" si="266"/>
        <v>1464.1000000000001</v>
      </c>
      <c r="BS47" s="26">
        <f t="shared" si="266"/>
        <v>1464.1000000000001</v>
      </c>
      <c r="BT47" s="19">
        <v>1.1000000000000001</v>
      </c>
      <c r="BU47" s="26">
        <f t="shared" ref="BU47" si="267">BS47*BT47</f>
        <v>1610.5100000000002</v>
      </c>
      <c r="BV47" s="26">
        <f t="shared" ref="BV47:CF47" si="268">BU47</f>
        <v>1610.5100000000002</v>
      </c>
      <c r="BW47" s="26">
        <f t="shared" si="268"/>
        <v>1610.5100000000002</v>
      </c>
      <c r="BX47" s="26">
        <f t="shared" si="268"/>
        <v>1610.5100000000002</v>
      </c>
      <c r="BY47" s="26">
        <f t="shared" si="268"/>
        <v>1610.5100000000002</v>
      </c>
      <c r="BZ47" s="26">
        <f t="shared" si="268"/>
        <v>1610.5100000000002</v>
      </c>
      <c r="CA47" s="26">
        <f t="shared" si="268"/>
        <v>1610.5100000000002</v>
      </c>
      <c r="CB47" s="26">
        <f t="shared" si="268"/>
        <v>1610.5100000000002</v>
      </c>
      <c r="CC47" s="26">
        <f t="shared" si="268"/>
        <v>1610.5100000000002</v>
      </c>
      <c r="CD47" s="26">
        <f t="shared" si="268"/>
        <v>1610.5100000000002</v>
      </c>
      <c r="CE47" s="26">
        <f t="shared" si="268"/>
        <v>1610.5100000000002</v>
      </c>
      <c r="CF47" s="26">
        <f t="shared" si="268"/>
        <v>1610.5100000000002</v>
      </c>
    </row>
    <row r="48" spans="1:84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/>
      <c r="P48" s="26"/>
      <c r="Q48" s="26"/>
      <c r="R48" s="26"/>
      <c r="S48" s="26"/>
      <c r="T48" s="19">
        <v>1.1000000000000001</v>
      </c>
      <c r="U48" s="26">
        <f>N48*T48</f>
        <v>0</v>
      </c>
      <c r="V48" s="26">
        <f t="shared" ref="V48:AF48" si="269">U48</f>
        <v>0</v>
      </c>
      <c r="W48" s="26">
        <f t="shared" si="269"/>
        <v>0</v>
      </c>
      <c r="X48" s="26">
        <f t="shared" si="269"/>
        <v>0</v>
      </c>
      <c r="Y48" s="26">
        <f t="shared" si="269"/>
        <v>0</v>
      </c>
      <c r="Z48" s="26">
        <f t="shared" si="269"/>
        <v>0</v>
      </c>
      <c r="AA48" s="26">
        <f t="shared" si="269"/>
        <v>0</v>
      </c>
      <c r="AB48" s="26">
        <f t="shared" si="269"/>
        <v>0</v>
      </c>
      <c r="AC48" s="26">
        <f t="shared" si="269"/>
        <v>0</v>
      </c>
      <c r="AD48" s="26">
        <f t="shared" si="269"/>
        <v>0</v>
      </c>
      <c r="AE48" s="26">
        <f t="shared" si="269"/>
        <v>0</v>
      </c>
      <c r="AF48" s="26">
        <f t="shared" si="269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</row>
    <row r="49" spans="1:84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/>
      <c r="P49" s="26"/>
      <c r="Q49" s="26"/>
      <c r="R49" s="26"/>
      <c r="S49" s="26"/>
      <c r="T49" s="19">
        <v>1.1000000000000001</v>
      </c>
      <c r="U49" s="26">
        <f>N49*T49</f>
        <v>0</v>
      </c>
      <c r="V49" s="26">
        <f t="shared" ref="V49:AF49" si="270">U49</f>
        <v>0</v>
      </c>
      <c r="W49" s="26">
        <f t="shared" si="270"/>
        <v>0</v>
      </c>
      <c r="X49" s="26">
        <f t="shared" si="270"/>
        <v>0</v>
      </c>
      <c r="Y49" s="26">
        <f t="shared" si="270"/>
        <v>0</v>
      </c>
      <c r="Z49" s="26">
        <f t="shared" si="270"/>
        <v>0</v>
      </c>
      <c r="AA49" s="26">
        <f t="shared" si="270"/>
        <v>0</v>
      </c>
      <c r="AB49" s="26">
        <f t="shared" si="270"/>
        <v>0</v>
      </c>
      <c r="AC49" s="26">
        <f t="shared" si="270"/>
        <v>0</v>
      </c>
      <c r="AD49" s="26">
        <f t="shared" si="270"/>
        <v>0</v>
      </c>
      <c r="AE49" s="26">
        <f t="shared" si="270"/>
        <v>0</v>
      </c>
      <c r="AF49" s="26">
        <f t="shared" si="270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</row>
    <row r="50" spans="1:84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271">SUM(E51:E52)</f>
        <v>0</v>
      </c>
      <c r="F50" s="39">
        <f t="shared" si="271"/>
        <v>2064.7668750000003</v>
      </c>
      <c r="G50" s="39">
        <f t="shared" si="271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N50" si="272">SUM(J51:J52)</f>
        <v>2818.1462499999998</v>
      </c>
      <c r="K50" s="39">
        <f t="shared" si="272"/>
        <v>2818.1462499999998</v>
      </c>
      <c r="L50" s="39">
        <f t="shared" si="272"/>
        <v>2818.1462499999998</v>
      </c>
      <c r="M50" s="39">
        <f t="shared" si="272"/>
        <v>2818.1462499999998</v>
      </c>
      <c r="N50" s="39">
        <f t="shared" si="272"/>
        <v>2818.1462499999998</v>
      </c>
      <c r="O50" s="39"/>
      <c r="P50" s="39"/>
      <c r="Q50" s="39"/>
      <c r="R50" s="39"/>
      <c r="S50" s="39"/>
      <c r="T50" s="5"/>
      <c r="U50" s="39">
        <f>SUM(U51:U52)</f>
        <v>4016.8156250000002</v>
      </c>
      <c r="V50" s="39">
        <f t="shared" ref="V50:AF50" si="273">SUM(V51:V52)</f>
        <v>4016.8156250000002</v>
      </c>
      <c r="W50" s="39">
        <f t="shared" si="273"/>
        <v>4016.8156250000002</v>
      </c>
      <c r="X50" s="39">
        <f t="shared" si="273"/>
        <v>4016.8156250000002</v>
      </c>
      <c r="Y50" s="39">
        <f t="shared" si="273"/>
        <v>4016.8156250000002</v>
      </c>
      <c r="Z50" s="39">
        <f t="shared" si="273"/>
        <v>4016.8156250000002</v>
      </c>
      <c r="AA50" s="39">
        <f t="shared" si="273"/>
        <v>4016.8156250000002</v>
      </c>
      <c r="AB50" s="39">
        <f t="shared" si="273"/>
        <v>4016.8156250000002</v>
      </c>
      <c r="AC50" s="39">
        <f t="shared" si="273"/>
        <v>4016.8156250000002</v>
      </c>
      <c r="AD50" s="39">
        <f t="shared" si="273"/>
        <v>4016.8156250000002</v>
      </c>
      <c r="AE50" s="39">
        <f t="shared" si="273"/>
        <v>4016.8156250000002</v>
      </c>
      <c r="AF50" s="39">
        <f t="shared" si="273"/>
        <v>4016.8156250000002</v>
      </c>
      <c r="AG50" s="5"/>
      <c r="AH50" s="39">
        <f>SUM(AH51:AH52)</f>
        <v>5385.755000000001</v>
      </c>
      <c r="AI50" s="39">
        <f t="shared" ref="AI50:AS50" si="274">SUM(AI51:AI52)</f>
        <v>5385.755000000001</v>
      </c>
      <c r="AJ50" s="39">
        <f t="shared" si="274"/>
        <v>5385.755000000001</v>
      </c>
      <c r="AK50" s="39">
        <f t="shared" si="274"/>
        <v>5385.755000000001</v>
      </c>
      <c r="AL50" s="39">
        <f t="shared" si="274"/>
        <v>5385.755000000001</v>
      </c>
      <c r="AM50" s="39">
        <f t="shared" si="274"/>
        <v>5385.755000000001</v>
      </c>
      <c r="AN50" s="39">
        <f t="shared" si="274"/>
        <v>5385.755000000001</v>
      </c>
      <c r="AO50" s="39">
        <f t="shared" si="274"/>
        <v>5385.755000000001</v>
      </c>
      <c r="AP50" s="39">
        <f t="shared" si="274"/>
        <v>5385.755000000001</v>
      </c>
      <c r="AQ50" s="39">
        <f t="shared" si="274"/>
        <v>5385.755000000001</v>
      </c>
      <c r="AR50" s="39">
        <f t="shared" si="274"/>
        <v>5385.755000000001</v>
      </c>
      <c r="AS50" s="39">
        <f t="shared" si="274"/>
        <v>5385.755000000001</v>
      </c>
      <c r="AT50" s="5"/>
      <c r="AU50" s="39">
        <f>SUM(AU51:AU52)</f>
        <v>6388.6142500000005</v>
      </c>
      <c r="AV50" s="39">
        <f t="shared" ref="AV50" si="275">SUM(AV51:AV52)</f>
        <v>6388.6142500000005</v>
      </c>
      <c r="AW50" s="39">
        <f t="shared" ref="AW50:BF50" si="276">SUM(AW51:AW52)</f>
        <v>6388.6142500000005</v>
      </c>
      <c r="AX50" s="39">
        <f t="shared" si="276"/>
        <v>6388.6142500000005</v>
      </c>
      <c r="AY50" s="39">
        <f t="shared" si="276"/>
        <v>6388.6142500000005</v>
      </c>
      <c r="AZ50" s="39">
        <f t="shared" si="276"/>
        <v>6388.6142500000005</v>
      </c>
      <c r="BA50" s="39">
        <f t="shared" si="276"/>
        <v>6388.6142500000005</v>
      </c>
      <c r="BB50" s="39">
        <f t="shared" si="276"/>
        <v>6388.6142500000005</v>
      </c>
      <c r="BC50" s="39">
        <f t="shared" si="276"/>
        <v>6388.6142500000005</v>
      </c>
      <c r="BD50" s="39">
        <f t="shared" si="276"/>
        <v>6388.6142500000005</v>
      </c>
      <c r="BE50" s="39">
        <f t="shared" si="276"/>
        <v>6388.6142500000005</v>
      </c>
      <c r="BF50" s="39">
        <f t="shared" si="276"/>
        <v>6388.6142500000005</v>
      </c>
      <c r="BG50" s="5"/>
      <c r="BH50" s="39">
        <f>SUM(BH51:BH52)</f>
        <v>7414.3788000000004</v>
      </c>
      <c r="BI50" s="39">
        <f t="shared" ref="BI50" si="277">SUM(BI51:BI52)</f>
        <v>7414.3788000000004</v>
      </c>
      <c r="BJ50" s="39">
        <f t="shared" ref="BJ50:BS50" si="278">SUM(BJ51:BJ52)</f>
        <v>7414.3788000000004</v>
      </c>
      <c r="BK50" s="39">
        <f t="shared" si="278"/>
        <v>7414.3788000000004</v>
      </c>
      <c r="BL50" s="39">
        <f t="shared" si="278"/>
        <v>7414.3788000000004</v>
      </c>
      <c r="BM50" s="39">
        <f t="shared" si="278"/>
        <v>7414.3788000000004</v>
      </c>
      <c r="BN50" s="39">
        <f t="shared" si="278"/>
        <v>7414.3788000000004</v>
      </c>
      <c r="BO50" s="39">
        <f t="shared" si="278"/>
        <v>7414.3788000000004</v>
      </c>
      <c r="BP50" s="39">
        <f t="shared" si="278"/>
        <v>7414.3788000000004</v>
      </c>
      <c r="BQ50" s="39">
        <f t="shared" si="278"/>
        <v>7414.3788000000004</v>
      </c>
      <c r="BR50" s="39">
        <f t="shared" si="278"/>
        <v>7414.3788000000004</v>
      </c>
      <c r="BS50" s="39">
        <f t="shared" si="278"/>
        <v>7414.3788000000004</v>
      </c>
      <c r="BT50" s="5"/>
      <c r="BU50" s="39">
        <f>SUM(BU51:BU52)</f>
        <v>8465.3391800000009</v>
      </c>
      <c r="BV50" s="39">
        <f t="shared" ref="BV50" si="279">SUM(BV51:BV52)</f>
        <v>8465.3391800000009</v>
      </c>
      <c r="BW50" s="39">
        <f t="shared" ref="BW50:CF50" si="280">SUM(BW51:BW52)</f>
        <v>8465.3391800000009</v>
      </c>
      <c r="BX50" s="39">
        <f t="shared" si="280"/>
        <v>8465.3391800000009</v>
      </c>
      <c r="BY50" s="39">
        <f t="shared" si="280"/>
        <v>8465.3391800000009</v>
      </c>
      <c r="BZ50" s="39">
        <f t="shared" si="280"/>
        <v>8465.3391800000009</v>
      </c>
      <c r="CA50" s="39">
        <f t="shared" si="280"/>
        <v>8465.3391800000009</v>
      </c>
      <c r="CB50" s="39">
        <f t="shared" si="280"/>
        <v>8465.3391800000009</v>
      </c>
      <c r="CC50" s="39">
        <f t="shared" si="280"/>
        <v>8465.3391800000009</v>
      </c>
      <c r="CD50" s="39">
        <f t="shared" si="280"/>
        <v>8465.3391800000009</v>
      </c>
      <c r="CE50" s="39">
        <f t="shared" si="280"/>
        <v>8465.3391800000009</v>
      </c>
      <c r="CF50" s="39">
        <f t="shared" si="280"/>
        <v>8465.3391800000009</v>
      </c>
    </row>
    <row r="51" spans="1:84" ht="15" thickBot="1">
      <c r="A51" s="19" t="s">
        <v>70</v>
      </c>
      <c r="B51" s="5" t="s">
        <v>71</v>
      </c>
      <c r="D51" s="41"/>
      <c r="E51" s="41"/>
      <c r="F51" s="41">
        <f>'Cálcul. trabalhado'!I11</f>
        <v>171.76687500000003</v>
      </c>
      <c r="G51" s="41">
        <f>F51</f>
        <v>171.76687500000003</v>
      </c>
      <c r="H51" s="41">
        <f>'Cálcul. trabalhado'!I12</f>
        <v>925.14625000000001</v>
      </c>
      <c r="I51" s="41">
        <f t="shared" ref="I51:N51" si="281">H51</f>
        <v>925.14625000000001</v>
      </c>
      <c r="J51" s="41">
        <f t="shared" si="281"/>
        <v>925.14625000000001</v>
      </c>
      <c r="K51" s="41">
        <f t="shared" si="281"/>
        <v>925.14625000000001</v>
      </c>
      <c r="L51" s="41">
        <f t="shared" si="281"/>
        <v>925.14625000000001</v>
      </c>
      <c r="M51" s="41">
        <f t="shared" si="281"/>
        <v>925.14625000000001</v>
      </c>
      <c r="N51" s="41">
        <f t="shared" si="281"/>
        <v>925.14625000000001</v>
      </c>
      <c r="O51" s="41"/>
      <c r="P51" s="41"/>
      <c r="Q51" s="41"/>
      <c r="R51" s="41"/>
      <c r="S51" s="41"/>
      <c r="T51" s="19" t="s">
        <v>204</v>
      </c>
      <c r="U51" s="41">
        <f>'Cálcul. trabalhado'!I13</f>
        <v>1934.515625</v>
      </c>
      <c r="V51" s="41">
        <f t="shared" ref="V51:AF51" si="282">U51</f>
        <v>1934.515625</v>
      </c>
      <c r="W51" s="41">
        <f t="shared" si="282"/>
        <v>1934.515625</v>
      </c>
      <c r="X51" s="41">
        <f t="shared" si="282"/>
        <v>1934.515625</v>
      </c>
      <c r="Y51" s="41">
        <f t="shared" si="282"/>
        <v>1934.515625</v>
      </c>
      <c r="Z51" s="41">
        <f t="shared" si="282"/>
        <v>1934.515625</v>
      </c>
      <c r="AA51" s="41">
        <f t="shared" si="282"/>
        <v>1934.515625</v>
      </c>
      <c r="AB51" s="41">
        <f t="shared" si="282"/>
        <v>1934.515625</v>
      </c>
      <c r="AC51" s="41">
        <f t="shared" si="282"/>
        <v>1934.515625</v>
      </c>
      <c r="AD51" s="41">
        <f t="shared" si="282"/>
        <v>1934.515625</v>
      </c>
      <c r="AE51" s="41">
        <f t="shared" si="282"/>
        <v>1934.515625</v>
      </c>
      <c r="AF51" s="41">
        <f t="shared" si="282"/>
        <v>1934.515625</v>
      </c>
      <c r="AG51" s="19" t="s">
        <v>204</v>
      </c>
      <c r="AH51" s="41">
        <f>'Cálcul. trabalhado'!I14</f>
        <v>3095.2250000000004</v>
      </c>
      <c r="AI51" s="41">
        <f t="shared" ref="AI51:AS51" si="283">AH51</f>
        <v>3095.2250000000004</v>
      </c>
      <c r="AJ51" s="41">
        <f t="shared" si="283"/>
        <v>3095.2250000000004</v>
      </c>
      <c r="AK51" s="41">
        <f t="shared" si="283"/>
        <v>3095.2250000000004</v>
      </c>
      <c r="AL51" s="41">
        <f t="shared" si="283"/>
        <v>3095.2250000000004</v>
      </c>
      <c r="AM51" s="41">
        <f t="shared" si="283"/>
        <v>3095.2250000000004</v>
      </c>
      <c r="AN51" s="41">
        <f t="shared" si="283"/>
        <v>3095.2250000000004</v>
      </c>
      <c r="AO51" s="41">
        <f t="shared" si="283"/>
        <v>3095.2250000000004</v>
      </c>
      <c r="AP51" s="41">
        <f t="shared" si="283"/>
        <v>3095.2250000000004</v>
      </c>
      <c r="AQ51" s="41">
        <f t="shared" si="283"/>
        <v>3095.2250000000004</v>
      </c>
      <c r="AR51" s="41">
        <f t="shared" si="283"/>
        <v>3095.2250000000004</v>
      </c>
      <c r="AS51" s="41">
        <f t="shared" si="283"/>
        <v>3095.2250000000004</v>
      </c>
      <c r="AT51" s="19" t="s">
        <v>204</v>
      </c>
      <c r="AU51" s="41">
        <f>'Cálcul. trabalhado'!I15</f>
        <v>3869.03125</v>
      </c>
      <c r="AV51" s="41">
        <f t="shared" ref="AV51:BF51" si="284">AU51</f>
        <v>3869.03125</v>
      </c>
      <c r="AW51" s="41">
        <f t="shared" si="284"/>
        <v>3869.03125</v>
      </c>
      <c r="AX51" s="41">
        <f t="shared" si="284"/>
        <v>3869.03125</v>
      </c>
      <c r="AY51" s="41">
        <f t="shared" si="284"/>
        <v>3869.03125</v>
      </c>
      <c r="AZ51" s="41">
        <f t="shared" si="284"/>
        <v>3869.03125</v>
      </c>
      <c r="BA51" s="41">
        <f t="shared" si="284"/>
        <v>3869.03125</v>
      </c>
      <c r="BB51" s="41">
        <f t="shared" si="284"/>
        <v>3869.03125</v>
      </c>
      <c r="BC51" s="41">
        <f t="shared" si="284"/>
        <v>3869.03125</v>
      </c>
      <c r="BD51" s="41">
        <f t="shared" si="284"/>
        <v>3869.03125</v>
      </c>
      <c r="BE51" s="41">
        <f t="shared" si="284"/>
        <v>3869.03125</v>
      </c>
      <c r="BF51" s="41">
        <f t="shared" si="284"/>
        <v>3869.03125</v>
      </c>
      <c r="BG51" s="19" t="s">
        <v>204</v>
      </c>
      <c r="BH51" s="41">
        <f>'Cálcul. trabalhado'!I16</f>
        <v>4642.8374999999996</v>
      </c>
      <c r="BI51" s="41">
        <f t="shared" ref="BI51:BS51" si="285">BH51</f>
        <v>4642.8374999999996</v>
      </c>
      <c r="BJ51" s="41">
        <f t="shared" si="285"/>
        <v>4642.8374999999996</v>
      </c>
      <c r="BK51" s="41">
        <f t="shared" si="285"/>
        <v>4642.8374999999996</v>
      </c>
      <c r="BL51" s="41">
        <f t="shared" si="285"/>
        <v>4642.8374999999996</v>
      </c>
      <c r="BM51" s="41">
        <f t="shared" si="285"/>
        <v>4642.8374999999996</v>
      </c>
      <c r="BN51" s="41">
        <f t="shared" si="285"/>
        <v>4642.8374999999996</v>
      </c>
      <c r="BO51" s="41">
        <f t="shared" si="285"/>
        <v>4642.8374999999996</v>
      </c>
      <c r="BP51" s="41">
        <f t="shared" si="285"/>
        <v>4642.8374999999996</v>
      </c>
      <c r="BQ51" s="41">
        <f t="shared" si="285"/>
        <v>4642.8374999999996</v>
      </c>
      <c r="BR51" s="41">
        <f t="shared" si="285"/>
        <v>4642.8374999999996</v>
      </c>
      <c r="BS51" s="41">
        <f t="shared" si="285"/>
        <v>4642.8374999999996</v>
      </c>
      <c r="BT51" s="19" t="s">
        <v>204</v>
      </c>
      <c r="BU51" s="41">
        <f>'Cálcul. trabalhado'!I17</f>
        <v>5416.6437499999993</v>
      </c>
      <c r="BV51" s="41">
        <f t="shared" ref="BV51:CF51" si="286">BU51</f>
        <v>5416.6437499999993</v>
      </c>
      <c r="BW51" s="41">
        <f t="shared" si="286"/>
        <v>5416.6437499999993</v>
      </c>
      <c r="BX51" s="41">
        <f t="shared" si="286"/>
        <v>5416.6437499999993</v>
      </c>
      <c r="BY51" s="41">
        <f t="shared" si="286"/>
        <v>5416.6437499999993</v>
      </c>
      <c r="BZ51" s="41">
        <f t="shared" si="286"/>
        <v>5416.6437499999993</v>
      </c>
      <c r="CA51" s="41">
        <f t="shared" si="286"/>
        <v>5416.6437499999993</v>
      </c>
      <c r="CB51" s="41">
        <f t="shared" si="286"/>
        <v>5416.6437499999993</v>
      </c>
      <c r="CC51" s="41">
        <f t="shared" si="286"/>
        <v>5416.6437499999993</v>
      </c>
      <c r="CD51" s="41">
        <f t="shared" si="286"/>
        <v>5416.6437499999993</v>
      </c>
      <c r="CE51" s="41">
        <f t="shared" si="286"/>
        <v>5416.6437499999993</v>
      </c>
      <c r="CF51" s="41">
        <f t="shared" si="286"/>
        <v>5416.6437499999993</v>
      </c>
    </row>
    <row r="52" spans="1:84" ht="15" thickBot="1">
      <c r="A52" s="19" t="s">
        <v>72</v>
      </c>
      <c r="B52" s="5" t="s">
        <v>611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/>
      <c r="P52" s="26"/>
      <c r="Q52" s="26"/>
      <c r="R52" s="26"/>
      <c r="S52" s="26"/>
      <c r="T52" s="19">
        <v>1.1000000000000001</v>
      </c>
      <c r="U52" s="26">
        <f>N52*T52</f>
        <v>2082.3000000000002</v>
      </c>
      <c r="V52" s="26">
        <f t="shared" ref="V52:AF52" si="287">U52</f>
        <v>2082.3000000000002</v>
      </c>
      <c r="W52" s="26">
        <f t="shared" si="287"/>
        <v>2082.3000000000002</v>
      </c>
      <c r="X52" s="26">
        <f t="shared" si="287"/>
        <v>2082.3000000000002</v>
      </c>
      <c r="Y52" s="26">
        <f t="shared" si="287"/>
        <v>2082.3000000000002</v>
      </c>
      <c r="Z52" s="26">
        <f t="shared" si="287"/>
        <v>2082.3000000000002</v>
      </c>
      <c r="AA52" s="26">
        <f t="shared" si="287"/>
        <v>2082.3000000000002</v>
      </c>
      <c r="AB52" s="26">
        <f t="shared" si="287"/>
        <v>2082.3000000000002</v>
      </c>
      <c r="AC52" s="26">
        <f t="shared" si="287"/>
        <v>2082.3000000000002</v>
      </c>
      <c r="AD52" s="26">
        <f t="shared" si="287"/>
        <v>2082.3000000000002</v>
      </c>
      <c r="AE52" s="26">
        <f t="shared" si="287"/>
        <v>2082.3000000000002</v>
      </c>
      <c r="AF52" s="26">
        <f t="shared" si="287"/>
        <v>2082.3000000000002</v>
      </c>
      <c r="AG52" s="19">
        <v>1.1000000000000001</v>
      </c>
      <c r="AH52" s="26">
        <f t="shared" ref="AH52" si="288">AF52*AG52</f>
        <v>2290.5300000000002</v>
      </c>
      <c r="AI52" s="26">
        <f t="shared" ref="AI52:AS52" si="289">AH52</f>
        <v>2290.5300000000002</v>
      </c>
      <c r="AJ52" s="26">
        <f t="shared" si="289"/>
        <v>2290.5300000000002</v>
      </c>
      <c r="AK52" s="26">
        <f t="shared" si="289"/>
        <v>2290.5300000000002</v>
      </c>
      <c r="AL52" s="26">
        <f t="shared" si="289"/>
        <v>2290.5300000000002</v>
      </c>
      <c r="AM52" s="26">
        <f t="shared" si="289"/>
        <v>2290.5300000000002</v>
      </c>
      <c r="AN52" s="26">
        <f t="shared" si="289"/>
        <v>2290.5300000000002</v>
      </c>
      <c r="AO52" s="26">
        <f t="shared" si="289"/>
        <v>2290.5300000000002</v>
      </c>
      <c r="AP52" s="26">
        <f t="shared" si="289"/>
        <v>2290.5300000000002</v>
      </c>
      <c r="AQ52" s="26">
        <f t="shared" si="289"/>
        <v>2290.5300000000002</v>
      </c>
      <c r="AR52" s="26">
        <f t="shared" si="289"/>
        <v>2290.5300000000002</v>
      </c>
      <c r="AS52" s="26">
        <f t="shared" si="289"/>
        <v>2290.5300000000002</v>
      </c>
      <c r="AT52" s="19">
        <v>1.1000000000000001</v>
      </c>
      <c r="AU52" s="26">
        <f t="shared" ref="AU52" si="290">AS52*AT52</f>
        <v>2519.5830000000005</v>
      </c>
      <c r="AV52" s="26">
        <f t="shared" ref="AV52:BF52" si="291">AU52</f>
        <v>2519.5830000000005</v>
      </c>
      <c r="AW52" s="26">
        <f t="shared" si="291"/>
        <v>2519.5830000000005</v>
      </c>
      <c r="AX52" s="26">
        <f t="shared" si="291"/>
        <v>2519.5830000000005</v>
      </c>
      <c r="AY52" s="26">
        <f t="shared" si="291"/>
        <v>2519.5830000000005</v>
      </c>
      <c r="AZ52" s="26">
        <f t="shared" si="291"/>
        <v>2519.5830000000005</v>
      </c>
      <c r="BA52" s="26">
        <f t="shared" si="291"/>
        <v>2519.5830000000005</v>
      </c>
      <c r="BB52" s="26">
        <f t="shared" si="291"/>
        <v>2519.5830000000005</v>
      </c>
      <c r="BC52" s="26">
        <f t="shared" si="291"/>
        <v>2519.5830000000005</v>
      </c>
      <c r="BD52" s="26">
        <f t="shared" si="291"/>
        <v>2519.5830000000005</v>
      </c>
      <c r="BE52" s="26">
        <f t="shared" si="291"/>
        <v>2519.5830000000005</v>
      </c>
      <c r="BF52" s="26">
        <f t="shared" si="291"/>
        <v>2519.5830000000005</v>
      </c>
      <c r="BG52" s="19">
        <v>1.1000000000000001</v>
      </c>
      <c r="BH52" s="26">
        <f t="shared" ref="BH52" si="292">BF52*BG52</f>
        <v>2771.5413000000008</v>
      </c>
      <c r="BI52" s="26">
        <f t="shared" ref="BI52:BS52" si="293">BH52</f>
        <v>2771.5413000000008</v>
      </c>
      <c r="BJ52" s="26">
        <f t="shared" si="293"/>
        <v>2771.5413000000008</v>
      </c>
      <c r="BK52" s="26">
        <f t="shared" si="293"/>
        <v>2771.5413000000008</v>
      </c>
      <c r="BL52" s="26">
        <f t="shared" si="293"/>
        <v>2771.5413000000008</v>
      </c>
      <c r="BM52" s="26">
        <f t="shared" si="293"/>
        <v>2771.5413000000008</v>
      </c>
      <c r="BN52" s="26">
        <f t="shared" si="293"/>
        <v>2771.5413000000008</v>
      </c>
      <c r="BO52" s="26">
        <f t="shared" si="293"/>
        <v>2771.5413000000008</v>
      </c>
      <c r="BP52" s="26">
        <f t="shared" si="293"/>
        <v>2771.5413000000008</v>
      </c>
      <c r="BQ52" s="26">
        <f t="shared" si="293"/>
        <v>2771.5413000000008</v>
      </c>
      <c r="BR52" s="26">
        <f t="shared" si="293"/>
        <v>2771.5413000000008</v>
      </c>
      <c r="BS52" s="26">
        <f t="shared" si="293"/>
        <v>2771.5413000000008</v>
      </c>
      <c r="BT52" s="19">
        <v>1.1000000000000001</v>
      </c>
      <c r="BU52" s="26">
        <f t="shared" ref="BU52" si="294">BS52*BT52</f>
        <v>3048.6954300000011</v>
      </c>
      <c r="BV52" s="26">
        <f t="shared" ref="BV52:CF52" si="295">BU52</f>
        <v>3048.6954300000011</v>
      </c>
      <c r="BW52" s="26">
        <f t="shared" si="295"/>
        <v>3048.6954300000011</v>
      </c>
      <c r="BX52" s="26">
        <f t="shared" si="295"/>
        <v>3048.6954300000011</v>
      </c>
      <c r="BY52" s="26">
        <f t="shared" si="295"/>
        <v>3048.6954300000011</v>
      </c>
      <c r="BZ52" s="26">
        <f t="shared" si="295"/>
        <v>3048.6954300000011</v>
      </c>
      <c r="CA52" s="26">
        <f t="shared" si="295"/>
        <v>3048.6954300000011</v>
      </c>
      <c r="CB52" s="26">
        <f t="shared" si="295"/>
        <v>3048.6954300000011</v>
      </c>
      <c r="CC52" s="26">
        <f t="shared" si="295"/>
        <v>3048.6954300000011</v>
      </c>
      <c r="CD52" s="26">
        <f t="shared" si="295"/>
        <v>3048.6954300000011</v>
      </c>
      <c r="CE52" s="26">
        <f t="shared" si="295"/>
        <v>3048.6954300000011</v>
      </c>
      <c r="CF52" s="26">
        <f t="shared" si="295"/>
        <v>3048.6954300000011</v>
      </c>
    </row>
    <row r="53" spans="1:84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N53" si="296">F54+F56+F59+F61+F64+F67+F70+F77+F80+F82</f>
        <v>190.02875</v>
      </c>
      <c r="G53" s="24">
        <f t="shared" si="296"/>
        <v>337.25749999999999</v>
      </c>
      <c r="H53" s="24">
        <f t="shared" si="296"/>
        <v>1717.1649999999997</v>
      </c>
      <c r="I53" s="24">
        <f t="shared" si="296"/>
        <v>1717.1649999999997</v>
      </c>
      <c r="J53" s="24">
        <f t="shared" si="296"/>
        <v>1717.1649999999997</v>
      </c>
      <c r="K53" s="24">
        <f t="shared" si="296"/>
        <v>1717.1649999999997</v>
      </c>
      <c r="L53" s="24">
        <f t="shared" si="296"/>
        <v>1717.1649999999997</v>
      </c>
      <c r="M53" s="24">
        <f t="shared" si="296"/>
        <v>1717.1649999999997</v>
      </c>
      <c r="N53" s="24">
        <f t="shared" si="296"/>
        <v>1717.1649999999997</v>
      </c>
      <c r="O53" s="24"/>
      <c r="P53" s="24"/>
      <c r="Q53" s="24"/>
      <c r="R53" s="24"/>
      <c r="S53" s="24"/>
      <c r="T53" s="5"/>
      <c r="U53" s="24">
        <f t="shared" ref="U53:AF53" si="297">U54+U56+U59+U61+U64+U67+U70+U77+U80+U82</f>
        <v>3558.7124999999996</v>
      </c>
      <c r="V53" s="24">
        <f t="shared" si="297"/>
        <v>3558.7124999999996</v>
      </c>
      <c r="W53" s="24">
        <f t="shared" si="297"/>
        <v>9268.2971874999985</v>
      </c>
      <c r="X53" s="24">
        <f t="shared" si="297"/>
        <v>9268.2971874999985</v>
      </c>
      <c r="Y53" s="24">
        <f t="shared" si="297"/>
        <v>9268.2971874999985</v>
      </c>
      <c r="Z53" s="24">
        <f t="shared" si="297"/>
        <v>9268.2971874999985</v>
      </c>
      <c r="AA53" s="24">
        <f t="shared" si="297"/>
        <v>9268.2971874999985</v>
      </c>
      <c r="AB53" s="24">
        <f t="shared" si="297"/>
        <v>9268.2971874999985</v>
      </c>
      <c r="AC53" s="24">
        <f t="shared" si="297"/>
        <v>9268.2971874999985</v>
      </c>
      <c r="AD53" s="24">
        <f t="shared" si="297"/>
        <v>9268.2971874999985</v>
      </c>
      <c r="AE53" s="24">
        <f t="shared" si="297"/>
        <v>9268.2971874999985</v>
      </c>
      <c r="AF53" s="24">
        <f t="shared" si="297"/>
        <v>9268.2971874999985</v>
      </c>
      <c r="AG53" s="5"/>
      <c r="AH53" s="24">
        <f t="shared" ref="AH53:AS53" si="298">AH54+AH56+AH59+AH61+AH64+AH67+AH70+AH77+AH80+AH82</f>
        <v>14814.0355</v>
      </c>
      <c r="AI53" s="24">
        <f t="shared" si="298"/>
        <v>14814.0355</v>
      </c>
      <c r="AJ53" s="24">
        <f t="shared" si="298"/>
        <v>14814.0355</v>
      </c>
      <c r="AK53" s="24">
        <f t="shared" si="298"/>
        <v>14814.0355</v>
      </c>
      <c r="AL53" s="24">
        <f t="shared" si="298"/>
        <v>14814.0355</v>
      </c>
      <c r="AM53" s="24">
        <f t="shared" si="298"/>
        <v>14814.0355</v>
      </c>
      <c r="AN53" s="24">
        <f t="shared" si="298"/>
        <v>14814.0355</v>
      </c>
      <c r="AO53" s="24">
        <f t="shared" si="298"/>
        <v>14814.0355</v>
      </c>
      <c r="AP53" s="24">
        <f t="shared" si="298"/>
        <v>14814.0355</v>
      </c>
      <c r="AQ53" s="24">
        <f t="shared" si="298"/>
        <v>14814.0355</v>
      </c>
      <c r="AR53" s="24">
        <f t="shared" si="298"/>
        <v>14814.0355</v>
      </c>
      <c r="AS53" s="24">
        <f t="shared" si="298"/>
        <v>14814.0355</v>
      </c>
      <c r="AU53" s="24">
        <f t="shared" ref="AU53:BF53" si="299">AU54+AU56+AU59+AU61+AU64+AU67+AU70+AU77+AU80+AU82</f>
        <v>18516.594374999997</v>
      </c>
      <c r="AV53" s="24">
        <f t="shared" si="299"/>
        <v>18516.594374999997</v>
      </c>
      <c r="AW53" s="24">
        <f t="shared" si="299"/>
        <v>18516.594374999997</v>
      </c>
      <c r="AX53" s="24">
        <f t="shared" si="299"/>
        <v>18516.594374999997</v>
      </c>
      <c r="AY53" s="24">
        <f t="shared" si="299"/>
        <v>18516.594374999997</v>
      </c>
      <c r="AZ53" s="24">
        <f t="shared" si="299"/>
        <v>18516.594374999997</v>
      </c>
      <c r="BA53" s="24">
        <f t="shared" si="299"/>
        <v>18516.594374999997</v>
      </c>
      <c r="BB53" s="24">
        <f t="shared" si="299"/>
        <v>18516.594374999997</v>
      </c>
      <c r="BC53" s="24">
        <f t="shared" si="299"/>
        <v>18516.594374999997</v>
      </c>
      <c r="BD53" s="24">
        <f t="shared" si="299"/>
        <v>18516.594374999997</v>
      </c>
      <c r="BE53" s="24">
        <f t="shared" si="299"/>
        <v>18516.594374999997</v>
      </c>
      <c r="BF53" s="24">
        <f t="shared" si="299"/>
        <v>18516.594374999997</v>
      </c>
      <c r="BH53" s="24">
        <f t="shared" ref="BH53:BS53" si="300">BH54+BH56+BH59+BH61+BH64+BH67+BH70+BH77+BH80+BH82</f>
        <v>22222.953249999995</v>
      </c>
      <c r="BI53" s="24">
        <f t="shared" si="300"/>
        <v>22222.953249999995</v>
      </c>
      <c r="BJ53" s="24">
        <f t="shared" si="300"/>
        <v>22222.953249999995</v>
      </c>
      <c r="BK53" s="24">
        <f t="shared" si="300"/>
        <v>22222.953249999995</v>
      </c>
      <c r="BL53" s="24">
        <f t="shared" si="300"/>
        <v>22222.953249999995</v>
      </c>
      <c r="BM53" s="24">
        <f t="shared" si="300"/>
        <v>22222.953249999995</v>
      </c>
      <c r="BN53" s="24">
        <f t="shared" si="300"/>
        <v>22222.953249999995</v>
      </c>
      <c r="BO53" s="24">
        <f t="shared" si="300"/>
        <v>22222.953249999995</v>
      </c>
      <c r="BP53" s="24">
        <f t="shared" si="300"/>
        <v>22222.953249999995</v>
      </c>
      <c r="BQ53" s="24">
        <f t="shared" si="300"/>
        <v>22222.953249999995</v>
      </c>
      <c r="BR53" s="24">
        <f t="shared" si="300"/>
        <v>22222.953249999995</v>
      </c>
      <c r="BS53" s="24">
        <f t="shared" si="300"/>
        <v>22222.953249999995</v>
      </c>
      <c r="BU53" s="24">
        <f t="shared" ref="BU53:CF53" si="301">BU54+BU56+BU59+BU61+BU64+BU67+BU70+BU77+BU80+BU82</f>
        <v>25925.512124999994</v>
      </c>
      <c r="BV53" s="24">
        <f t="shared" si="301"/>
        <v>25925.512124999994</v>
      </c>
      <c r="BW53" s="24">
        <f t="shared" si="301"/>
        <v>25925.512124999994</v>
      </c>
      <c r="BX53" s="24">
        <f t="shared" si="301"/>
        <v>25925.512124999994</v>
      </c>
      <c r="BY53" s="24">
        <f t="shared" si="301"/>
        <v>25925.512124999994</v>
      </c>
      <c r="BZ53" s="24">
        <f t="shared" si="301"/>
        <v>25925.512124999994</v>
      </c>
      <c r="CA53" s="24">
        <f t="shared" si="301"/>
        <v>25925.512124999994</v>
      </c>
      <c r="CB53" s="24">
        <f t="shared" si="301"/>
        <v>25925.512124999994</v>
      </c>
      <c r="CC53" s="24">
        <f t="shared" si="301"/>
        <v>25925.512124999994</v>
      </c>
      <c r="CD53" s="24">
        <f t="shared" si="301"/>
        <v>25925.512124999994</v>
      </c>
      <c r="CE53" s="24">
        <f t="shared" si="301"/>
        <v>25925.512124999994</v>
      </c>
      <c r="CF53" s="24">
        <f t="shared" si="301"/>
        <v>25925.512124999994</v>
      </c>
    </row>
    <row r="54" spans="1:84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N54" si="302">SUM(I55)</f>
        <v>0</v>
      </c>
      <c r="J54" s="39">
        <f t="shared" si="302"/>
        <v>0</v>
      </c>
      <c r="K54" s="39">
        <f t="shared" si="302"/>
        <v>0</v>
      </c>
      <c r="L54" s="39">
        <f t="shared" si="302"/>
        <v>0</v>
      </c>
      <c r="M54" s="39">
        <f t="shared" si="302"/>
        <v>0</v>
      </c>
      <c r="N54" s="39">
        <f t="shared" si="302"/>
        <v>0</v>
      </c>
      <c r="O54" s="39"/>
      <c r="P54" s="39"/>
      <c r="Q54" s="39"/>
      <c r="R54" s="39"/>
      <c r="S54" s="39"/>
      <c r="T54" s="5"/>
      <c r="U54" s="39">
        <f>SUM(U55)</f>
        <v>0</v>
      </c>
      <c r="V54" s="39">
        <f t="shared" ref="V54:AF54" si="303">SUM(V55)</f>
        <v>0</v>
      </c>
      <c r="W54" s="39">
        <f t="shared" si="303"/>
        <v>0</v>
      </c>
      <c r="X54" s="39">
        <f t="shared" si="303"/>
        <v>0</v>
      </c>
      <c r="Y54" s="39">
        <f t="shared" si="303"/>
        <v>0</v>
      </c>
      <c r="Z54" s="39">
        <f t="shared" si="303"/>
        <v>0</v>
      </c>
      <c r="AA54" s="39">
        <f t="shared" si="303"/>
        <v>0</v>
      </c>
      <c r="AB54" s="39">
        <f t="shared" si="303"/>
        <v>0</v>
      </c>
      <c r="AC54" s="39">
        <f t="shared" si="303"/>
        <v>0</v>
      </c>
      <c r="AD54" s="39">
        <f t="shared" si="303"/>
        <v>0</v>
      </c>
      <c r="AE54" s="39">
        <f t="shared" si="303"/>
        <v>0</v>
      </c>
      <c r="AF54" s="39">
        <f t="shared" si="303"/>
        <v>0</v>
      </c>
      <c r="AG54" s="5"/>
      <c r="AH54" s="39">
        <f>SUM(AH55)</f>
        <v>0</v>
      </c>
      <c r="AI54" s="39">
        <f t="shared" ref="AI54:AS54" si="304">SUM(AI55)</f>
        <v>0</v>
      </c>
      <c r="AJ54" s="39">
        <f t="shared" si="304"/>
        <v>0</v>
      </c>
      <c r="AK54" s="39">
        <f t="shared" si="304"/>
        <v>0</v>
      </c>
      <c r="AL54" s="39">
        <f t="shared" si="304"/>
        <v>0</v>
      </c>
      <c r="AM54" s="39">
        <f t="shared" si="304"/>
        <v>0</v>
      </c>
      <c r="AN54" s="39">
        <f t="shared" si="304"/>
        <v>0</v>
      </c>
      <c r="AO54" s="39">
        <f t="shared" si="304"/>
        <v>0</v>
      </c>
      <c r="AP54" s="39">
        <f t="shared" si="304"/>
        <v>0</v>
      </c>
      <c r="AQ54" s="39">
        <f t="shared" si="304"/>
        <v>0</v>
      </c>
      <c r="AR54" s="39">
        <f t="shared" si="304"/>
        <v>0</v>
      </c>
      <c r="AS54" s="39">
        <f t="shared" si="304"/>
        <v>0</v>
      </c>
      <c r="AU54" s="39">
        <f>SUM(AU55)</f>
        <v>0</v>
      </c>
      <c r="AV54" s="39">
        <f t="shared" ref="AV54:BF54" si="305">SUM(AV55)</f>
        <v>0</v>
      </c>
      <c r="AW54" s="39">
        <f t="shared" si="305"/>
        <v>0</v>
      </c>
      <c r="AX54" s="39">
        <f t="shared" si="305"/>
        <v>0</v>
      </c>
      <c r="AY54" s="39">
        <f t="shared" si="305"/>
        <v>0</v>
      </c>
      <c r="AZ54" s="39">
        <f t="shared" si="305"/>
        <v>0</v>
      </c>
      <c r="BA54" s="39">
        <f t="shared" si="305"/>
        <v>0</v>
      </c>
      <c r="BB54" s="39">
        <f t="shared" si="305"/>
        <v>0</v>
      </c>
      <c r="BC54" s="39">
        <f t="shared" si="305"/>
        <v>0</v>
      </c>
      <c r="BD54" s="39">
        <f t="shared" si="305"/>
        <v>0</v>
      </c>
      <c r="BE54" s="39">
        <f t="shared" si="305"/>
        <v>0</v>
      </c>
      <c r="BF54" s="39">
        <f t="shared" si="305"/>
        <v>0</v>
      </c>
      <c r="BH54" s="39">
        <f>SUM(BH55)</f>
        <v>0</v>
      </c>
      <c r="BI54" s="39">
        <f t="shared" ref="BI54:BS54" si="306">SUM(BI55)</f>
        <v>0</v>
      </c>
      <c r="BJ54" s="39">
        <f t="shared" si="306"/>
        <v>0</v>
      </c>
      <c r="BK54" s="39">
        <f t="shared" si="306"/>
        <v>0</v>
      </c>
      <c r="BL54" s="39">
        <f t="shared" si="306"/>
        <v>0</v>
      </c>
      <c r="BM54" s="39">
        <f t="shared" si="306"/>
        <v>0</v>
      </c>
      <c r="BN54" s="39">
        <f t="shared" si="306"/>
        <v>0</v>
      </c>
      <c r="BO54" s="39">
        <f t="shared" si="306"/>
        <v>0</v>
      </c>
      <c r="BP54" s="39">
        <f t="shared" si="306"/>
        <v>0</v>
      </c>
      <c r="BQ54" s="39">
        <f t="shared" si="306"/>
        <v>0</v>
      </c>
      <c r="BR54" s="39">
        <f t="shared" si="306"/>
        <v>0</v>
      </c>
      <c r="BS54" s="39">
        <f t="shared" si="306"/>
        <v>0</v>
      </c>
      <c r="BU54" s="39">
        <f>SUM(BU55)</f>
        <v>0</v>
      </c>
      <c r="BV54" s="39">
        <f t="shared" ref="BV54:CF54" si="307">SUM(BV55)</f>
        <v>0</v>
      </c>
      <c r="BW54" s="39">
        <f t="shared" si="307"/>
        <v>0</v>
      </c>
      <c r="BX54" s="39">
        <f t="shared" si="307"/>
        <v>0</v>
      </c>
      <c r="BY54" s="39">
        <f t="shared" si="307"/>
        <v>0</v>
      </c>
      <c r="BZ54" s="39">
        <f t="shared" si="307"/>
        <v>0</v>
      </c>
      <c r="CA54" s="39">
        <f t="shared" si="307"/>
        <v>0</v>
      </c>
      <c r="CB54" s="39">
        <f t="shared" si="307"/>
        <v>0</v>
      </c>
      <c r="CC54" s="39">
        <f t="shared" si="307"/>
        <v>0</v>
      </c>
      <c r="CD54" s="39">
        <f t="shared" si="307"/>
        <v>0</v>
      </c>
      <c r="CE54" s="39">
        <f t="shared" si="307"/>
        <v>0</v>
      </c>
      <c r="CF54" s="39">
        <f t="shared" si="307"/>
        <v>0</v>
      </c>
    </row>
    <row r="55" spans="1:84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/>
      <c r="P55" s="26"/>
      <c r="Q55" s="26"/>
      <c r="R55" s="26"/>
      <c r="S55" s="26"/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</row>
    <row r="56" spans="1:84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N56" si="308">SUM(I57:I58)</f>
        <v>131.19999999999999</v>
      </c>
      <c r="J56" s="39">
        <f t="shared" si="308"/>
        <v>131.19999999999999</v>
      </c>
      <c r="K56" s="39">
        <f t="shared" si="308"/>
        <v>131.19999999999999</v>
      </c>
      <c r="L56" s="39">
        <f t="shared" si="308"/>
        <v>131.19999999999999</v>
      </c>
      <c r="M56" s="39">
        <f t="shared" si="308"/>
        <v>131.19999999999999</v>
      </c>
      <c r="N56" s="39">
        <f t="shared" si="308"/>
        <v>131.19999999999999</v>
      </c>
      <c r="O56" s="39"/>
      <c r="P56" s="39"/>
      <c r="Q56" s="39"/>
      <c r="R56" s="39"/>
      <c r="S56" s="39"/>
      <c r="T56" s="5"/>
      <c r="U56" s="39">
        <f t="shared" ref="U56:AF56" si="309">SUM(U57:U58)</f>
        <v>242.4</v>
      </c>
      <c r="V56" s="39">
        <f t="shared" si="309"/>
        <v>242.4</v>
      </c>
      <c r="W56" s="39">
        <f t="shared" si="309"/>
        <v>242.4</v>
      </c>
      <c r="X56" s="39">
        <f t="shared" si="309"/>
        <v>242.4</v>
      </c>
      <c r="Y56" s="39">
        <f t="shared" si="309"/>
        <v>242.4</v>
      </c>
      <c r="Z56" s="39">
        <f t="shared" si="309"/>
        <v>242.4</v>
      </c>
      <c r="AA56" s="39">
        <f t="shared" si="309"/>
        <v>242.4</v>
      </c>
      <c r="AB56" s="39">
        <f t="shared" si="309"/>
        <v>242.4</v>
      </c>
      <c r="AC56" s="39">
        <f t="shared" si="309"/>
        <v>242.4</v>
      </c>
      <c r="AD56" s="39">
        <f t="shared" si="309"/>
        <v>242.4</v>
      </c>
      <c r="AE56" s="39">
        <f t="shared" si="309"/>
        <v>242.4</v>
      </c>
      <c r="AF56" s="39">
        <f t="shared" si="309"/>
        <v>242.4</v>
      </c>
      <c r="AG56" s="5"/>
      <c r="AH56" s="39">
        <f t="shared" ref="AH56:AS56" si="310">SUM(AH57:AH58)</f>
        <v>372.6</v>
      </c>
      <c r="AI56" s="39">
        <f t="shared" si="310"/>
        <v>372.6</v>
      </c>
      <c r="AJ56" s="39">
        <f t="shared" si="310"/>
        <v>372.6</v>
      </c>
      <c r="AK56" s="39">
        <f t="shared" si="310"/>
        <v>372.6</v>
      </c>
      <c r="AL56" s="39">
        <f t="shared" si="310"/>
        <v>372.6</v>
      </c>
      <c r="AM56" s="39">
        <f t="shared" si="310"/>
        <v>372.6</v>
      </c>
      <c r="AN56" s="39">
        <f t="shared" si="310"/>
        <v>372.6</v>
      </c>
      <c r="AO56" s="39">
        <f t="shared" si="310"/>
        <v>372.6</v>
      </c>
      <c r="AP56" s="39">
        <f t="shared" si="310"/>
        <v>372.6</v>
      </c>
      <c r="AQ56" s="39">
        <f t="shared" si="310"/>
        <v>372.6</v>
      </c>
      <c r="AR56" s="39">
        <f t="shared" si="310"/>
        <v>372.6</v>
      </c>
      <c r="AS56" s="39">
        <f t="shared" si="310"/>
        <v>372.6</v>
      </c>
      <c r="AU56" s="39">
        <f t="shared" ref="AU56:BF56" si="311">SUM(AU57:AU58)</f>
        <v>464.8</v>
      </c>
      <c r="AV56" s="39">
        <f t="shared" si="311"/>
        <v>464.8</v>
      </c>
      <c r="AW56" s="39">
        <f t="shared" si="311"/>
        <v>464.8</v>
      </c>
      <c r="AX56" s="39">
        <f t="shared" si="311"/>
        <v>464.8</v>
      </c>
      <c r="AY56" s="39">
        <f t="shared" si="311"/>
        <v>464.8</v>
      </c>
      <c r="AZ56" s="39">
        <f t="shared" si="311"/>
        <v>464.8</v>
      </c>
      <c r="BA56" s="39">
        <f t="shared" si="311"/>
        <v>464.8</v>
      </c>
      <c r="BB56" s="39">
        <f t="shared" si="311"/>
        <v>464.8</v>
      </c>
      <c r="BC56" s="39">
        <f t="shared" si="311"/>
        <v>464.8</v>
      </c>
      <c r="BD56" s="39">
        <f t="shared" si="311"/>
        <v>464.8</v>
      </c>
      <c r="BE56" s="39">
        <f t="shared" si="311"/>
        <v>464.8</v>
      </c>
      <c r="BF56" s="39">
        <f t="shared" si="311"/>
        <v>464.8</v>
      </c>
      <c r="BH56" s="39">
        <f t="shared" ref="BH56:BS56" si="312">SUM(BH57:BH58)</f>
        <v>560.79999999999995</v>
      </c>
      <c r="BI56" s="39">
        <f t="shared" si="312"/>
        <v>560.79999999999995</v>
      </c>
      <c r="BJ56" s="39">
        <f t="shared" si="312"/>
        <v>560.79999999999995</v>
      </c>
      <c r="BK56" s="39">
        <f t="shared" si="312"/>
        <v>560.79999999999995</v>
      </c>
      <c r="BL56" s="39">
        <f t="shared" si="312"/>
        <v>560.79999999999995</v>
      </c>
      <c r="BM56" s="39">
        <f t="shared" si="312"/>
        <v>560.79999999999995</v>
      </c>
      <c r="BN56" s="39">
        <f t="shared" si="312"/>
        <v>560.79999999999995</v>
      </c>
      <c r="BO56" s="39">
        <f t="shared" si="312"/>
        <v>560.79999999999995</v>
      </c>
      <c r="BP56" s="39">
        <f t="shared" si="312"/>
        <v>560.79999999999995</v>
      </c>
      <c r="BQ56" s="39">
        <f t="shared" si="312"/>
        <v>560.79999999999995</v>
      </c>
      <c r="BR56" s="39">
        <f t="shared" si="312"/>
        <v>560.79999999999995</v>
      </c>
      <c r="BS56" s="39">
        <f t="shared" si="312"/>
        <v>560.79999999999995</v>
      </c>
      <c r="BU56" s="39">
        <f t="shared" ref="BU56:CF56" si="313">SUM(BU57:BU58)</f>
        <v>653</v>
      </c>
      <c r="BV56" s="39">
        <f t="shared" si="313"/>
        <v>653</v>
      </c>
      <c r="BW56" s="39">
        <f t="shared" si="313"/>
        <v>653</v>
      </c>
      <c r="BX56" s="39">
        <f t="shared" si="313"/>
        <v>653</v>
      </c>
      <c r="BY56" s="39">
        <f t="shared" si="313"/>
        <v>653</v>
      </c>
      <c r="BZ56" s="39">
        <f t="shared" si="313"/>
        <v>653</v>
      </c>
      <c r="CA56" s="39">
        <f t="shared" si="313"/>
        <v>653</v>
      </c>
      <c r="CB56" s="39">
        <f t="shared" si="313"/>
        <v>653</v>
      </c>
      <c r="CC56" s="39">
        <f t="shared" si="313"/>
        <v>653</v>
      </c>
      <c r="CD56" s="39">
        <f t="shared" si="313"/>
        <v>653</v>
      </c>
      <c r="CE56" s="39">
        <f t="shared" si="313"/>
        <v>653</v>
      </c>
      <c r="CF56" s="39">
        <f t="shared" si="313"/>
        <v>653</v>
      </c>
    </row>
    <row r="57" spans="1:84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/>
      <c r="P57" s="26"/>
      <c r="Q57" s="26"/>
      <c r="R57" s="26"/>
      <c r="S57" s="26"/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</row>
    <row r="58" spans="1:84" ht="15" thickBot="1">
      <c r="A58" s="19" t="s">
        <v>81</v>
      </c>
      <c r="B58" s="5" t="s">
        <v>449</v>
      </c>
      <c r="D58" s="5"/>
      <c r="E58" s="5"/>
      <c r="F58" s="5">
        <f>'Cálculo kit higiene'!J28</f>
        <v>42.8</v>
      </c>
      <c r="G58" s="265">
        <f>'Cálculo kit higiene'!J28</f>
        <v>42.8</v>
      </c>
      <c r="H58" s="26">
        <f>'Cálculo kit higiene'!J29</f>
        <v>131.19999999999999</v>
      </c>
      <c r="I58" s="26">
        <f t="shared" ref="I58:N58" si="314">H58</f>
        <v>131.19999999999999</v>
      </c>
      <c r="J58" s="26">
        <f t="shared" si="314"/>
        <v>131.19999999999999</v>
      </c>
      <c r="K58" s="26">
        <f t="shared" si="314"/>
        <v>131.19999999999999</v>
      </c>
      <c r="L58" s="26">
        <f t="shared" si="314"/>
        <v>131.19999999999999</v>
      </c>
      <c r="M58" s="26">
        <f t="shared" si="314"/>
        <v>131.19999999999999</v>
      </c>
      <c r="N58" s="26">
        <f t="shared" si="314"/>
        <v>131.19999999999999</v>
      </c>
      <c r="O58" s="26"/>
      <c r="P58" s="26"/>
      <c r="Q58" s="26"/>
      <c r="R58" s="26"/>
      <c r="S58" s="26"/>
      <c r="T58" s="5"/>
      <c r="U58" s="26">
        <f>'Cálculo kit higiene'!J30</f>
        <v>242.4</v>
      </c>
      <c r="V58" s="26">
        <f t="shared" ref="V58:AF58" si="315">U58</f>
        <v>242.4</v>
      </c>
      <c r="W58" s="26">
        <f t="shared" si="315"/>
        <v>242.4</v>
      </c>
      <c r="X58" s="26">
        <f t="shared" si="315"/>
        <v>242.4</v>
      </c>
      <c r="Y58" s="26">
        <f t="shared" si="315"/>
        <v>242.4</v>
      </c>
      <c r="Z58" s="26">
        <f t="shared" si="315"/>
        <v>242.4</v>
      </c>
      <c r="AA58" s="26">
        <f t="shared" si="315"/>
        <v>242.4</v>
      </c>
      <c r="AB58" s="26">
        <f t="shared" si="315"/>
        <v>242.4</v>
      </c>
      <c r="AC58" s="26">
        <f t="shared" si="315"/>
        <v>242.4</v>
      </c>
      <c r="AD58" s="26">
        <f t="shared" si="315"/>
        <v>242.4</v>
      </c>
      <c r="AE58" s="26">
        <f t="shared" si="315"/>
        <v>242.4</v>
      </c>
      <c r="AF58" s="26">
        <f t="shared" si="315"/>
        <v>242.4</v>
      </c>
      <c r="AG58" s="5"/>
      <c r="AH58" s="26">
        <f>'Cálculo kit higiene'!J31</f>
        <v>372.6</v>
      </c>
      <c r="AI58" s="26">
        <f t="shared" ref="AI58:AS58" si="316">AH58</f>
        <v>372.6</v>
      </c>
      <c r="AJ58" s="26">
        <f t="shared" si="316"/>
        <v>372.6</v>
      </c>
      <c r="AK58" s="26">
        <f t="shared" si="316"/>
        <v>372.6</v>
      </c>
      <c r="AL58" s="26">
        <f t="shared" si="316"/>
        <v>372.6</v>
      </c>
      <c r="AM58" s="26">
        <f t="shared" si="316"/>
        <v>372.6</v>
      </c>
      <c r="AN58" s="26">
        <f t="shared" si="316"/>
        <v>372.6</v>
      </c>
      <c r="AO58" s="26">
        <f t="shared" si="316"/>
        <v>372.6</v>
      </c>
      <c r="AP58" s="26">
        <f t="shared" si="316"/>
        <v>372.6</v>
      </c>
      <c r="AQ58" s="26">
        <f t="shared" si="316"/>
        <v>372.6</v>
      </c>
      <c r="AR58" s="26">
        <f t="shared" si="316"/>
        <v>372.6</v>
      </c>
      <c r="AS58" s="26">
        <f t="shared" si="316"/>
        <v>372.6</v>
      </c>
      <c r="AU58" s="26">
        <f>'Cálculo kit higiene'!J32</f>
        <v>464.8</v>
      </c>
      <c r="AV58" s="26">
        <f t="shared" ref="AV58:BF58" si="317">AU58</f>
        <v>464.8</v>
      </c>
      <c r="AW58" s="26">
        <f t="shared" si="317"/>
        <v>464.8</v>
      </c>
      <c r="AX58" s="26">
        <f t="shared" si="317"/>
        <v>464.8</v>
      </c>
      <c r="AY58" s="26">
        <f t="shared" si="317"/>
        <v>464.8</v>
      </c>
      <c r="AZ58" s="26">
        <f t="shared" si="317"/>
        <v>464.8</v>
      </c>
      <c r="BA58" s="26">
        <f t="shared" si="317"/>
        <v>464.8</v>
      </c>
      <c r="BB58" s="26">
        <f t="shared" si="317"/>
        <v>464.8</v>
      </c>
      <c r="BC58" s="26">
        <f t="shared" si="317"/>
        <v>464.8</v>
      </c>
      <c r="BD58" s="26">
        <f t="shared" si="317"/>
        <v>464.8</v>
      </c>
      <c r="BE58" s="26">
        <f t="shared" si="317"/>
        <v>464.8</v>
      </c>
      <c r="BF58" s="26">
        <f t="shared" si="317"/>
        <v>464.8</v>
      </c>
      <c r="BH58" s="26">
        <f>'Cálculo kit higiene'!J33</f>
        <v>560.79999999999995</v>
      </c>
      <c r="BI58" s="26">
        <f t="shared" ref="BI58:BS58" si="318">BH58</f>
        <v>560.79999999999995</v>
      </c>
      <c r="BJ58" s="26">
        <f t="shared" si="318"/>
        <v>560.79999999999995</v>
      </c>
      <c r="BK58" s="26">
        <f t="shared" si="318"/>
        <v>560.79999999999995</v>
      </c>
      <c r="BL58" s="26">
        <f t="shared" si="318"/>
        <v>560.79999999999995</v>
      </c>
      <c r="BM58" s="26">
        <f t="shared" si="318"/>
        <v>560.79999999999995</v>
      </c>
      <c r="BN58" s="26">
        <f t="shared" si="318"/>
        <v>560.79999999999995</v>
      </c>
      <c r="BO58" s="26">
        <f t="shared" si="318"/>
        <v>560.79999999999995</v>
      </c>
      <c r="BP58" s="26">
        <f t="shared" si="318"/>
        <v>560.79999999999995</v>
      </c>
      <c r="BQ58" s="26">
        <f t="shared" si="318"/>
        <v>560.79999999999995</v>
      </c>
      <c r="BR58" s="26">
        <f t="shared" si="318"/>
        <v>560.79999999999995</v>
      </c>
      <c r="BS58" s="26">
        <f t="shared" si="318"/>
        <v>560.79999999999995</v>
      </c>
      <c r="BU58" s="26">
        <f>'Cálculo kit higiene'!J34</f>
        <v>653</v>
      </c>
      <c r="BV58" s="26">
        <f t="shared" ref="BV58:CF58" si="319">BU58</f>
        <v>653</v>
      </c>
      <c r="BW58" s="26">
        <f t="shared" si="319"/>
        <v>653</v>
      </c>
      <c r="BX58" s="26">
        <f t="shared" si="319"/>
        <v>653</v>
      </c>
      <c r="BY58" s="26">
        <f t="shared" si="319"/>
        <v>653</v>
      </c>
      <c r="BZ58" s="26">
        <f t="shared" si="319"/>
        <v>653</v>
      </c>
      <c r="CA58" s="26">
        <f t="shared" si="319"/>
        <v>653</v>
      </c>
      <c r="CB58" s="26">
        <f t="shared" si="319"/>
        <v>653</v>
      </c>
      <c r="CC58" s="26">
        <f t="shared" si="319"/>
        <v>653</v>
      </c>
      <c r="CD58" s="26">
        <f t="shared" si="319"/>
        <v>653</v>
      </c>
      <c r="CE58" s="26">
        <f t="shared" si="319"/>
        <v>653</v>
      </c>
      <c r="CF58" s="26">
        <f t="shared" si="319"/>
        <v>653</v>
      </c>
    </row>
    <row r="59" spans="1:84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N59" si="320">SUM(I60)</f>
        <v>0</v>
      </c>
      <c r="J59" s="39">
        <f t="shared" si="320"/>
        <v>0</v>
      </c>
      <c r="K59" s="39">
        <f t="shared" si="320"/>
        <v>0</v>
      </c>
      <c r="L59" s="39">
        <f t="shared" si="320"/>
        <v>0</v>
      </c>
      <c r="M59" s="39">
        <f t="shared" si="320"/>
        <v>0</v>
      </c>
      <c r="N59" s="39">
        <f t="shared" si="320"/>
        <v>0</v>
      </c>
      <c r="O59" s="39"/>
      <c r="P59" s="39"/>
      <c r="Q59" s="39"/>
      <c r="R59" s="39"/>
      <c r="S59" s="39"/>
      <c r="T59" s="5"/>
      <c r="U59" s="39">
        <f>SUM(U60)</f>
        <v>0</v>
      </c>
      <c r="V59" s="39">
        <f t="shared" ref="V59:AF59" si="321">SUM(V60)</f>
        <v>0</v>
      </c>
      <c r="W59" s="39">
        <f t="shared" si="321"/>
        <v>0</v>
      </c>
      <c r="X59" s="39">
        <f t="shared" si="321"/>
        <v>0</v>
      </c>
      <c r="Y59" s="39">
        <f t="shared" si="321"/>
        <v>0</v>
      </c>
      <c r="Z59" s="39">
        <f t="shared" si="321"/>
        <v>0</v>
      </c>
      <c r="AA59" s="39">
        <f t="shared" si="321"/>
        <v>0</v>
      </c>
      <c r="AB59" s="39">
        <f t="shared" si="321"/>
        <v>0</v>
      </c>
      <c r="AC59" s="39">
        <f t="shared" si="321"/>
        <v>0</v>
      </c>
      <c r="AD59" s="39">
        <f t="shared" si="321"/>
        <v>0</v>
      </c>
      <c r="AE59" s="39">
        <f t="shared" si="321"/>
        <v>0</v>
      </c>
      <c r="AF59" s="39">
        <f t="shared" si="321"/>
        <v>0</v>
      </c>
      <c r="AG59" s="5"/>
      <c r="AH59" s="39">
        <f>SUM(AH60)</f>
        <v>0</v>
      </c>
      <c r="AI59" s="39">
        <f t="shared" ref="AI59:AS59" si="322">SUM(AI60)</f>
        <v>0</v>
      </c>
      <c r="AJ59" s="39">
        <f t="shared" si="322"/>
        <v>0</v>
      </c>
      <c r="AK59" s="39">
        <f t="shared" si="322"/>
        <v>0</v>
      </c>
      <c r="AL59" s="39">
        <f t="shared" si="322"/>
        <v>0</v>
      </c>
      <c r="AM59" s="39">
        <f t="shared" si="322"/>
        <v>0</v>
      </c>
      <c r="AN59" s="39">
        <f t="shared" si="322"/>
        <v>0</v>
      </c>
      <c r="AO59" s="39">
        <f t="shared" si="322"/>
        <v>0</v>
      </c>
      <c r="AP59" s="39">
        <f t="shared" si="322"/>
        <v>0</v>
      </c>
      <c r="AQ59" s="39">
        <f t="shared" si="322"/>
        <v>0</v>
      </c>
      <c r="AR59" s="39">
        <f t="shared" si="322"/>
        <v>0</v>
      </c>
      <c r="AS59" s="39">
        <f t="shared" si="322"/>
        <v>0</v>
      </c>
      <c r="AU59" s="39">
        <f>SUM(AU60)</f>
        <v>0</v>
      </c>
      <c r="AV59" s="39">
        <f t="shared" ref="AV59:BF59" si="323">SUM(AV60)</f>
        <v>0</v>
      </c>
      <c r="AW59" s="39">
        <f t="shared" si="323"/>
        <v>0</v>
      </c>
      <c r="AX59" s="39">
        <f t="shared" si="323"/>
        <v>0</v>
      </c>
      <c r="AY59" s="39">
        <f t="shared" si="323"/>
        <v>0</v>
      </c>
      <c r="AZ59" s="39">
        <f t="shared" si="323"/>
        <v>0</v>
      </c>
      <c r="BA59" s="39">
        <f t="shared" si="323"/>
        <v>0</v>
      </c>
      <c r="BB59" s="39">
        <f t="shared" si="323"/>
        <v>0</v>
      </c>
      <c r="BC59" s="39">
        <f t="shared" si="323"/>
        <v>0</v>
      </c>
      <c r="BD59" s="39">
        <f t="shared" si="323"/>
        <v>0</v>
      </c>
      <c r="BE59" s="39">
        <f t="shared" si="323"/>
        <v>0</v>
      </c>
      <c r="BF59" s="39">
        <f t="shared" si="323"/>
        <v>0</v>
      </c>
      <c r="BH59" s="39">
        <f>SUM(BH60)</f>
        <v>0</v>
      </c>
      <c r="BI59" s="39">
        <f t="shared" ref="BI59:BS59" si="324">SUM(BI60)</f>
        <v>0</v>
      </c>
      <c r="BJ59" s="39">
        <f t="shared" si="324"/>
        <v>0</v>
      </c>
      <c r="BK59" s="39">
        <f t="shared" si="324"/>
        <v>0</v>
      </c>
      <c r="BL59" s="39">
        <f t="shared" si="324"/>
        <v>0</v>
      </c>
      <c r="BM59" s="39">
        <f t="shared" si="324"/>
        <v>0</v>
      </c>
      <c r="BN59" s="39">
        <f t="shared" si="324"/>
        <v>0</v>
      </c>
      <c r="BO59" s="39">
        <f t="shared" si="324"/>
        <v>0</v>
      </c>
      <c r="BP59" s="39">
        <f t="shared" si="324"/>
        <v>0</v>
      </c>
      <c r="BQ59" s="39">
        <f t="shared" si="324"/>
        <v>0</v>
      </c>
      <c r="BR59" s="39">
        <f t="shared" si="324"/>
        <v>0</v>
      </c>
      <c r="BS59" s="39">
        <f t="shared" si="324"/>
        <v>0</v>
      </c>
      <c r="BU59" s="39">
        <f>SUM(BU60)</f>
        <v>0</v>
      </c>
      <c r="BV59" s="39">
        <f t="shared" ref="BV59:CF59" si="325">SUM(BV60)</f>
        <v>0</v>
      </c>
      <c r="BW59" s="39">
        <f t="shared" si="325"/>
        <v>0</v>
      </c>
      <c r="BX59" s="39">
        <f t="shared" si="325"/>
        <v>0</v>
      </c>
      <c r="BY59" s="39">
        <f t="shared" si="325"/>
        <v>0</v>
      </c>
      <c r="BZ59" s="39">
        <f t="shared" si="325"/>
        <v>0</v>
      </c>
      <c r="CA59" s="39">
        <f t="shared" si="325"/>
        <v>0</v>
      </c>
      <c r="CB59" s="39">
        <f t="shared" si="325"/>
        <v>0</v>
      </c>
      <c r="CC59" s="39">
        <f t="shared" si="325"/>
        <v>0</v>
      </c>
      <c r="CD59" s="39">
        <f t="shared" si="325"/>
        <v>0</v>
      </c>
      <c r="CE59" s="39">
        <f t="shared" si="325"/>
        <v>0</v>
      </c>
      <c r="CF59" s="39">
        <f t="shared" si="325"/>
        <v>0</v>
      </c>
    </row>
    <row r="60" spans="1:84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/>
      <c r="P60" s="26"/>
      <c r="Q60" s="26"/>
      <c r="R60" s="26"/>
      <c r="S60" s="26"/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</row>
    <row r="61" spans="1:84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N61" si="326">SUM(I62+I63)</f>
        <v>0</v>
      </c>
      <c r="J61" s="39">
        <f t="shared" si="326"/>
        <v>0</v>
      </c>
      <c r="K61" s="39">
        <f t="shared" si="326"/>
        <v>0</v>
      </c>
      <c r="L61" s="39">
        <f t="shared" si="326"/>
        <v>0</v>
      </c>
      <c r="M61" s="39">
        <f t="shared" si="326"/>
        <v>0</v>
      </c>
      <c r="N61" s="39">
        <f t="shared" si="326"/>
        <v>0</v>
      </c>
      <c r="O61" s="39"/>
      <c r="P61" s="39"/>
      <c r="Q61" s="39"/>
      <c r="R61" s="39"/>
      <c r="S61" s="39"/>
      <c r="T61" s="5"/>
      <c r="U61" s="39">
        <f>SUM(U62+U63)</f>
        <v>0</v>
      </c>
      <c r="V61" s="39">
        <f t="shared" ref="V61:AF61" si="327">SUM(V62+V63)</f>
        <v>0</v>
      </c>
      <c r="W61" s="39">
        <f t="shared" si="327"/>
        <v>0</v>
      </c>
      <c r="X61" s="39">
        <f t="shared" si="327"/>
        <v>0</v>
      </c>
      <c r="Y61" s="39">
        <f t="shared" si="327"/>
        <v>0</v>
      </c>
      <c r="Z61" s="39">
        <f t="shared" si="327"/>
        <v>0</v>
      </c>
      <c r="AA61" s="39">
        <f t="shared" si="327"/>
        <v>0</v>
      </c>
      <c r="AB61" s="39">
        <f t="shared" si="327"/>
        <v>0</v>
      </c>
      <c r="AC61" s="39">
        <f t="shared" si="327"/>
        <v>0</v>
      </c>
      <c r="AD61" s="39">
        <f t="shared" si="327"/>
        <v>0</v>
      </c>
      <c r="AE61" s="39">
        <f t="shared" si="327"/>
        <v>0</v>
      </c>
      <c r="AF61" s="39">
        <f t="shared" si="327"/>
        <v>0</v>
      </c>
      <c r="AG61" s="5"/>
      <c r="AH61" s="39">
        <f>SUM(AH62+AH63)</f>
        <v>0</v>
      </c>
      <c r="AI61" s="39">
        <f t="shared" ref="AI61:AS61" si="328">SUM(AI62+AI63)</f>
        <v>0</v>
      </c>
      <c r="AJ61" s="39">
        <f t="shared" si="328"/>
        <v>0</v>
      </c>
      <c r="AK61" s="39">
        <f t="shared" si="328"/>
        <v>0</v>
      </c>
      <c r="AL61" s="39">
        <f t="shared" si="328"/>
        <v>0</v>
      </c>
      <c r="AM61" s="39">
        <f t="shared" si="328"/>
        <v>0</v>
      </c>
      <c r="AN61" s="39">
        <f t="shared" si="328"/>
        <v>0</v>
      </c>
      <c r="AO61" s="39">
        <f t="shared" si="328"/>
        <v>0</v>
      </c>
      <c r="AP61" s="39">
        <f t="shared" si="328"/>
        <v>0</v>
      </c>
      <c r="AQ61" s="39">
        <f t="shared" si="328"/>
        <v>0</v>
      </c>
      <c r="AR61" s="39">
        <f t="shared" si="328"/>
        <v>0</v>
      </c>
      <c r="AS61" s="39">
        <f t="shared" si="328"/>
        <v>0</v>
      </c>
      <c r="AU61" s="39">
        <f>SUM(AU62+AU63)</f>
        <v>0</v>
      </c>
      <c r="AV61" s="39">
        <f t="shared" ref="AV61:BF61" si="329">SUM(AV62+AV63)</f>
        <v>0</v>
      </c>
      <c r="AW61" s="39">
        <f t="shared" si="329"/>
        <v>0</v>
      </c>
      <c r="AX61" s="39">
        <f t="shared" si="329"/>
        <v>0</v>
      </c>
      <c r="AY61" s="39">
        <f t="shared" si="329"/>
        <v>0</v>
      </c>
      <c r="AZ61" s="39">
        <f t="shared" si="329"/>
        <v>0</v>
      </c>
      <c r="BA61" s="39">
        <f t="shared" si="329"/>
        <v>0</v>
      </c>
      <c r="BB61" s="39">
        <f t="shared" si="329"/>
        <v>0</v>
      </c>
      <c r="BC61" s="39">
        <f t="shared" si="329"/>
        <v>0</v>
      </c>
      <c r="BD61" s="39">
        <f t="shared" si="329"/>
        <v>0</v>
      </c>
      <c r="BE61" s="39">
        <f t="shared" si="329"/>
        <v>0</v>
      </c>
      <c r="BF61" s="39">
        <f t="shared" si="329"/>
        <v>0</v>
      </c>
      <c r="BH61" s="39">
        <f>SUM(BH62+BH63)</f>
        <v>0</v>
      </c>
      <c r="BI61" s="39">
        <f t="shared" ref="BI61:BS61" si="330">SUM(BI62+BI63)</f>
        <v>0</v>
      </c>
      <c r="BJ61" s="39">
        <f t="shared" si="330"/>
        <v>0</v>
      </c>
      <c r="BK61" s="39">
        <f t="shared" si="330"/>
        <v>0</v>
      </c>
      <c r="BL61" s="39">
        <f t="shared" si="330"/>
        <v>0</v>
      </c>
      <c r="BM61" s="39">
        <f t="shared" si="330"/>
        <v>0</v>
      </c>
      <c r="BN61" s="39">
        <f t="shared" si="330"/>
        <v>0</v>
      </c>
      <c r="BO61" s="39">
        <f t="shared" si="330"/>
        <v>0</v>
      </c>
      <c r="BP61" s="39">
        <f t="shared" si="330"/>
        <v>0</v>
      </c>
      <c r="BQ61" s="39">
        <f t="shared" si="330"/>
        <v>0</v>
      </c>
      <c r="BR61" s="39">
        <f t="shared" si="330"/>
        <v>0</v>
      </c>
      <c r="BS61" s="39">
        <f t="shared" si="330"/>
        <v>0</v>
      </c>
      <c r="BU61" s="39">
        <f>SUM(BU62+BU63)</f>
        <v>0</v>
      </c>
      <c r="BV61" s="39">
        <f t="shared" ref="BV61:CF61" si="331">SUM(BV62+BV63)</f>
        <v>0</v>
      </c>
      <c r="BW61" s="39">
        <f t="shared" si="331"/>
        <v>0</v>
      </c>
      <c r="BX61" s="39">
        <f t="shared" si="331"/>
        <v>0</v>
      </c>
      <c r="BY61" s="39">
        <f t="shared" si="331"/>
        <v>0</v>
      </c>
      <c r="BZ61" s="39">
        <f t="shared" si="331"/>
        <v>0</v>
      </c>
      <c r="CA61" s="39">
        <f t="shared" si="331"/>
        <v>0</v>
      </c>
      <c r="CB61" s="39">
        <f t="shared" si="331"/>
        <v>0</v>
      </c>
      <c r="CC61" s="39">
        <f t="shared" si="331"/>
        <v>0</v>
      </c>
      <c r="CD61" s="39">
        <f t="shared" si="331"/>
        <v>0</v>
      </c>
      <c r="CE61" s="39">
        <f t="shared" si="331"/>
        <v>0</v>
      </c>
      <c r="CF61" s="39">
        <f t="shared" si="331"/>
        <v>0</v>
      </c>
    </row>
    <row r="62" spans="1:84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/>
      <c r="P62" s="26"/>
      <c r="Q62" s="26"/>
      <c r="R62" s="26"/>
      <c r="S62" s="26"/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</row>
    <row r="63" spans="1:84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N63" si="332">SUM(I64:I66)</f>
        <v>0</v>
      </c>
      <c r="J63" s="26">
        <f t="shared" si="332"/>
        <v>0</v>
      </c>
      <c r="K63" s="26">
        <f t="shared" si="332"/>
        <v>0</v>
      </c>
      <c r="L63" s="26">
        <f t="shared" si="332"/>
        <v>0</v>
      </c>
      <c r="M63" s="26">
        <f t="shared" si="332"/>
        <v>0</v>
      </c>
      <c r="N63" s="26">
        <f t="shared" si="332"/>
        <v>0</v>
      </c>
      <c r="O63" s="26"/>
      <c r="P63" s="26"/>
      <c r="Q63" s="26"/>
      <c r="R63" s="26"/>
      <c r="S63" s="26"/>
      <c r="T63" s="5"/>
      <c r="U63" s="26">
        <f>SUM(U64:U66)</f>
        <v>0</v>
      </c>
      <c r="V63" s="26">
        <f t="shared" ref="V63:AF63" si="333">SUM(V64:V66)</f>
        <v>0</v>
      </c>
      <c r="W63" s="26">
        <f t="shared" si="333"/>
        <v>0</v>
      </c>
      <c r="X63" s="26">
        <f t="shared" si="333"/>
        <v>0</v>
      </c>
      <c r="Y63" s="26">
        <f t="shared" si="333"/>
        <v>0</v>
      </c>
      <c r="Z63" s="26">
        <f t="shared" si="333"/>
        <v>0</v>
      </c>
      <c r="AA63" s="26">
        <f t="shared" si="333"/>
        <v>0</v>
      </c>
      <c r="AB63" s="26">
        <f t="shared" si="333"/>
        <v>0</v>
      </c>
      <c r="AC63" s="26">
        <f t="shared" si="333"/>
        <v>0</v>
      </c>
      <c r="AD63" s="26">
        <f t="shared" si="333"/>
        <v>0</v>
      </c>
      <c r="AE63" s="26">
        <f t="shared" si="333"/>
        <v>0</v>
      </c>
      <c r="AF63" s="26">
        <f t="shared" si="333"/>
        <v>0</v>
      </c>
      <c r="AG63" s="5"/>
      <c r="AH63" s="26">
        <f>SUM(AH64:AH66)</f>
        <v>0</v>
      </c>
      <c r="AI63" s="26">
        <f t="shared" ref="AI63:AS63" si="334">SUM(AI64:AI66)</f>
        <v>0</v>
      </c>
      <c r="AJ63" s="26">
        <f t="shared" si="334"/>
        <v>0</v>
      </c>
      <c r="AK63" s="26">
        <f t="shared" si="334"/>
        <v>0</v>
      </c>
      <c r="AL63" s="26">
        <f t="shared" si="334"/>
        <v>0</v>
      </c>
      <c r="AM63" s="26">
        <f t="shared" si="334"/>
        <v>0</v>
      </c>
      <c r="AN63" s="26">
        <f t="shared" si="334"/>
        <v>0</v>
      </c>
      <c r="AO63" s="26">
        <f t="shared" si="334"/>
        <v>0</v>
      </c>
      <c r="AP63" s="26">
        <f t="shared" si="334"/>
        <v>0</v>
      </c>
      <c r="AQ63" s="26">
        <f t="shared" si="334"/>
        <v>0</v>
      </c>
      <c r="AR63" s="26">
        <f t="shared" si="334"/>
        <v>0</v>
      </c>
      <c r="AS63" s="26">
        <f t="shared" si="334"/>
        <v>0</v>
      </c>
      <c r="AU63" s="26">
        <f>SUM(AU64:AU66)</f>
        <v>0</v>
      </c>
      <c r="AV63" s="26">
        <f t="shared" ref="AV63:BF63" si="335">SUM(AV64:AV66)</f>
        <v>0</v>
      </c>
      <c r="AW63" s="26">
        <f t="shared" si="335"/>
        <v>0</v>
      </c>
      <c r="AX63" s="26">
        <f t="shared" si="335"/>
        <v>0</v>
      </c>
      <c r="AY63" s="26">
        <f t="shared" si="335"/>
        <v>0</v>
      </c>
      <c r="AZ63" s="26">
        <f t="shared" si="335"/>
        <v>0</v>
      </c>
      <c r="BA63" s="26">
        <f t="shared" si="335"/>
        <v>0</v>
      </c>
      <c r="BB63" s="26">
        <f t="shared" si="335"/>
        <v>0</v>
      </c>
      <c r="BC63" s="26">
        <f t="shared" si="335"/>
        <v>0</v>
      </c>
      <c r="BD63" s="26">
        <f t="shared" si="335"/>
        <v>0</v>
      </c>
      <c r="BE63" s="26">
        <f t="shared" si="335"/>
        <v>0</v>
      </c>
      <c r="BF63" s="26">
        <f t="shared" si="335"/>
        <v>0</v>
      </c>
      <c r="BH63" s="26">
        <f>SUM(BH64:BH66)</f>
        <v>0</v>
      </c>
      <c r="BI63" s="26">
        <f t="shared" ref="BI63:BS63" si="336">SUM(BI64:BI66)</f>
        <v>0</v>
      </c>
      <c r="BJ63" s="26">
        <f t="shared" si="336"/>
        <v>0</v>
      </c>
      <c r="BK63" s="26">
        <f t="shared" si="336"/>
        <v>0</v>
      </c>
      <c r="BL63" s="26">
        <f t="shared" si="336"/>
        <v>0</v>
      </c>
      <c r="BM63" s="26">
        <f t="shared" si="336"/>
        <v>0</v>
      </c>
      <c r="BN63" s="26">
        <f t="shared" si="336"/>
        <v>0</v>
      </c>
      <c r="BO63" s="26">
        <f t="shared" si="336"/>
        <v>0</v>
      </c>
      <c r="BP63" s="26">
        <f t="shared" si="336"/>
        <v>0</v>
      </c>
      <c r="BQ63" s="26">
        <f t="shared" si="336"/>
        <v>0</v>
      </c>
      <c r="BR63" s="26">
        <f t="shared" si="336"/>
        <v>0</v>
      </c>
      <c r="BS63" s="26">
        <f t="shared" si="336"/>
        <v>0</v>
      </c>
      <c r="BU63" s="26">
        <f>SUM(BU64:BU66)</f>
        <v>0</v>
      </c>
      <c r="BV63" s="26">
        <f t="shared" ref="BV63:CF63" si="337">SUM(BV64:BV66)</f>
        <v>0</v>
      </c>
      <c r="BW63" s="26">
        <f t="shared" si="337"/>
        <v>0</v>
      </c>
      <c r="BX63" s="26">
        <f t="shared" si="337"/>
        <v>0</v>
      </c>
      <c r="BY63" s="26">
        <f t="shared" si="337"/>
        <v>0</v>
      </c>
      <c r="BZ63" s="26">
        <f t="shared" si="337"/>
        <v>0</v>
      </c>
      <c r="CA63" s="26">
        <f t="shared" si="337"/>
        <v>0</v>
      </c>
      <c r="CB63" s="26">
        <f t="shared" si="337"/>
        <v>0</v>
      </c>
      <c r="CC63" s="26">
        <f t="shared" si="337"/>
        <v>0</v>
      </c>
      <c r="CD63" s="26">
        <f t="shared" si="337"/>
        <v>0</v>
      </c>
      <c r="CE63" s="26">
        <f t="shared" si="337"/>
        <v>0</v>
      </c>
      <c r="CF63" s="26">
        <f t="shared" si="337"/>
        <v>0</v>
      </c>
    </row>
    <row r="64" spans="1:84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N64" si="338">SUM(I65:I66)</f>
        <v>0</v>
      </c>
      <c r="J64" s="39">
        <f t="shared" si="338"/>
        <v>0</v>
      </c>
      <c r="K64" s="39">
        <f t="shared" si="338"/>
        <v>0</v>
      </c>
      <c r="L64" s="39">
        <f t="shared" si="338"/>
        <v>0</v>
      </c>
      <c r="M64" s="39">
        <f t="shared" si="338"/>
        <v>0</v>
      </c>
      <c r="N64" s="39">
        <f t="shared" si="338"/>
        <v>0</v>
      </c>
      <c r="O64" s="39"/>
      <c r="P64" s="39"/>
      <c r="Q64" s="39"/>
      <c r="R64" s="39"/>
      <c r="S64" s="39"/>
      <c r="T64" s="5"/>
      <c r="U64" s="39">
        <f>SUM(U65:U66)</f>
        <v>0</v>
      </c>
      <c r="V64" s="39">
        <f t="shared" ref="V64:AF64" si="339">SUM(V65:V66)</f>
        <v>0</v>
      </c>
      <c r="W64" s="39">
        <f t="shared" si="339"/>
        <v>0</v>
      </c>
      <c r="X64" s="39">
        <f t="shared" si="339"/>
        <v>0</v>
      </c>
      <c r="Y64" s="39">
        <f t="shared" si="339"/>
        <v>0</v>
      </c>
      <c r="Z64" s="39">
        <f t="shared" si="339"/>
        <v>0</v>
      </c>
      <c r="AA64" s="39">
        <f t="shared" si="339"/>
        <v>0</v>
      </c>
      <c r="AB64" s="39">
        <f t="shared" si="339"/>
        <v>0</v>
      </c>
      <c r="AC64" s="39">
        <f t="shared" si="339"/>
        <v>0</v>
      </c>
      <c r="AD64" s="39">
        <f t="shared" si="339"/>
        <v>0</v>
      </c>
      <c r="AE64" s="39">
        <f t="shared" si="339"/>
        <v>0</v>
      </c>
      <c r="AF64" s="39">
        <f t="shared" si="339"/>
        <v>0</v>
      </c>
      <c r="AG64" s="5"/>
      <c r="AH64" s="39">
        <f>SUM(AH65:AH66)</f>
        <v>0</v>
      </c>
      <c r="AI64" s="39">
        <f t="shared" ref="AI64:AS64" si="340">SUM(AI65:AI66)</f>
        <v>0</v>
      </c>
      <c r="AJ64" s="39">
        <f t="shared" si="340"/>
        <v>0</v>
      </c>
      <c r="AK64" s="39">
        <f t="shared" si="340"/>
        <v>0</v>
      </c>
      <c r="AL64" s="39">
        <f t="shared" si="340"/>
        <v>0</v>
      </c>
      <c r="AM64" s="39">
        <f t="shared" si="340"/>
        <v>0</v>
      </c>
      <c r="AN64" s="39">
        <f t="shared" si="340"/>
        <v>0</v>
      </c>
      <c r="AO64" s="39">
        <f t="shared" si="340"/>
        <v>0</v>
      </c>
      <c r="AP64" s="39">
        <f t="shared" si="340"/>
        <v>0</v>
      </c>
      <c r="AQ64" s="39">
        <f t="shared" si="340"/>
        <v>0</v>
      </c>
      <c r="AR64" s="39">
        <f t="shared" si="340"/>
        <v>0</v>
      </c>
      <c r="AS64" s="39">
        <f t="shared" si="340"/>
        <v>0</v>
      </c>
      <c r="AU64" s="39">
        <f>SUM(AU65:AU66)</f>
        <v>0</v>
      </c>
      <c r="AV64" s="39">
        <f t="shared" ref="AV64:BF64" si="341">SUM(AV65:AV66)</f>
        <v>0</v>
      </c>
      <c r="AW64" s="39">
        <f t="shared" si="341"/>
        <v>0</v>
      </c>
      <c r="AX64" s="39">
        <f t="shared" si="341"/>
        <v>0</v>
      </c>
      <c r="AY64" s="39">
        <f t="shared" si="341"/>
        <v>0</v>
      </c>
      <c r="AZ64" s="39">
        <f t="shared" si="341"/>
        <v>0</v>
      </c>
      <c r="BA64" s="39">
        <f t="shared" si="341"/>
        <v>0</v>
      </c>
      <c r="BB64" s="39">
        <f t="shared" si="341"/>
        <v>0</v>
      </c>
      <c r="BC64" s="39">
        <f t="shared" si="341"/>
        <v>0</v>
      </c>
      <c r="BD64" s="39">
        <f t="shared" si="341"/>
        <v>0</v>
      </c>
      <c r="BE64" s="39">
        <f t="shared" si="341"/>
        <v>0</v>
      </c>
      <c r="BF64" s="39">
        <f t="shared" si="341"/>
        <v>0</v>
      </c>
      <c r="BH64" s="39">
        <f>SUM(BH65:BH66)</f>
        <v>0</v>
      </c>
      <c r="BI64" s="39">
        <f t="shared" ref="BI64:BS64" si="342">SUM(BI65:BI66)</f>
        <v>0</v>
      </c>
      <c r="BJ64" s="39">
        <f t="shared" si="342"/>
        <v>0</v>
      </c>
      <c r="BK64" s="39">
        <f t="shared" si="342"/>
        <v>0</v>
      </c>
      <c r="BL64" s="39">
        <f t="shared" si="342"/>
        <v>0</v>
      </c>
      <c r="BM64" s="39">
        <f t="shared" si="342"/>
        <v>0</v>
      </c>
      <c r="BN64" s="39">
        <f t="shared" si="342"/>
        <v>0</v>
      </c>
      <c r="BO64" s="39">
        <f t="shared" si="342"/>
        <v>0</v>
      </c>
      <c r="BP64" s="39">
        <f t="shared" si="342"/>
        <v>0</v>
      </c>
      <c r="BQ64" s="39">
        <f t="shared" si="342"/>
        <v>0</v>
      </c>
      <c r="BR64" s="39">
        <f t="shared" si="342"/>
        <v>0</v>
      </c>
      <c r="BS64" s="39">
        <f t="shared" si="342"/>
        <v>0</v>
      </c>
      <c r="BU64" s="39">
        <f>SUM(BU65:BU66)</f>
        <v>0</v>
      </c>
      <c r="BV64" s="39">
        <f t="shared" ref="BV64:CF64" si="343">SUM(BV65:BV66)</f>
        <v>0</v>
      </c>
      <c r="BW64" s="39">
        <f t="shared" si="343"/>
        <v>0</v>
      </c>
      <c r="BX64" s="39">
        <f t="shared" si="343"/>
        <v>0</v>
      </c>
      <c r="BY64" s="39">
        <f t="shared" si="343"/>
        <v>0</v>
      </c>
      <c r="BZ64" s="39">
        <f t="shared" si="343"/>
        <v>0</v>
      </c>
      <c r="CA64" s="39">
        <f t="shared" si="343"/>
        <v>0</v>
      </c>
      <c r="CB64" s="39">
        <f t="shared" si="343"/>
        <v>0</v>
      </c>
      <c r="CC64" s="39">
        <f t="shared" si="343"/>
        <v>0</v>
      </c>
      <c r="CD64" s="39">
        <f t="shared" si="343"/>
        <v>0</v>
      </c>
      <c r="CE64" s="39">
        <f t="shared" si="343"/>
        <v>0</v>
      </c>
      <c r="CF64" s="39">
        <f t="shared" si="343"/>
        <v>0</v>
      </c>
    </row>
    <row r="65" spans="1:84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/>
      <c r="P65" s="26"/>
      <c r="Q65" s="26"/>
      <c r="R65" s="26"/>
      <c r="S65" s="26"/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</row>
    <row r="66" spans="1:84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/>
      <c r="P66" s="26"/>
      <c r="Q66" s="26"/>
      <c r="R66" s="26"/>
      <c r="S66" s="26"/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</row>
    <row r="67" spans="1:84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N67" si="344">SUM(I68:I69)</f>
        <v>0</v>
      </c>
      <c r="J67" s="39">
        <f t="shared" si="344"/>
        <v>0</v>
      </c>
      <c r="K67" s="39">
        <f t="shared" si="344"/>
        <v>0</v>
      </c>
      <c r="L67" s="39">
        <f t="shared" si="344"/>
        <v>0</v>
      </c>
      <c r="M67" s="39">
        <f t="shared" si="344"/>
        <v>0</v>
      </c>
      <c r="N67" s="39">
        <f t="shared" si="344"/>
        <v>0</v>
      </c>
      <c r="O67" s="39"/>
      <c r="P67" s="39"/>
      <c r="Q67" s="39"/>
      <c r="R67" s="39"/>
      <c r="S67" s="39"/>
      <c r="T67" s="5"/>
      <c r="U67" s="39">
        <f>SUM(U68:U69)</f>
        <v>0</v>
      </c>
      <c r="V67" s="39">
        <f t="shared" ref="V67:AF67" si="345">SUM(V68:V69)</f>
        <v>0</v>
      </c>
      <c r="W67" s="39">
        <f t="shared" si="345"/>
        <v>0</v>
      </c>
      <c r="X67" s="39">
        <f t="shared" si="345"/>
        <v>0</v>
      </c>
      <c r="Y67" s="39">
        <f t="shared" si="345"/>
        <v>0</v>
      </c>
      <c r="Z67" s="39">
        <f t="shared" si="345"/>
        <v>0</v>
      </c>
      <c r="AA67" s="39">
        <f t="shared" si="345"/>
        <v>0</v>
      </c>
      <c r="AB67" s="39">
        <f t="shared" si="345"/>
        <v>0</v>
      </c>
      <c r="AC67" s="39">
        <f t="shared" si="345"/>
        <v>0</v>
      </c>
      <c r="AD67" s="39">
        <f t="shared" si="345"/>
        <v>0</v>
      </c>
      <c r="AE67" s="39">
        <f t="shared" si="345"/>
        <v>0</v>
      </c>
      <c r="AF67" s="39">
        <f t="shared" si="345"/>
        <v>0</v>
      </c>
      <c r="AG67" s="5"/>
      <c r="AH67" s="39">
        <f>SUM(AH68:AH69)</f>
        <v>0</v>
      </c>
      <c r="AI67" s="39">
        <f t="shared" ref="AI67:AS67" si="346">SUM(AI68:AI69)</f>
        <v>0</v>
      </c>
      <c r="AJ67" s="39">
        <f t="shared" si="346"/>
        <v>0</v>
      </c>
      <c r="AK67" s="39">
        <f t="shared" si="346"/>
        <v>0</v>
      </c>
      <c r="AL67" s="39">
        <f t="shared" si="346"/>
        <v>0</v>
      </c>
      <c r="AM67" s="39">
        <f t="shared" si="346"/>
        <v>0</v>
      </c>
      <c r="AN67" s="39">
        <f t="shared" si="346"/>
        <v>0</v>
      </c>
      <c r="AO67" s="39">
        <f t="shared" si="346"/>
        <v>0</v>
      </c>
      <c r="AP67" s="39">
        <f t="shared" si="346"/>
        <v>0</v>
      </c>
      <c r="AQ67" s="39">
        <f t="shared" si="346"/>
        <v>0</v>
      </c>
      <c r="AR67" s="39">
        <f t="shared" si="346"/>
        <v>0</v>
      </c>
      <c r="AS67" s="39">
        <f t="shared" si="346"/>
        <v>0</v>
      </c>
      <c r="AU67" s="39">
        <f>SUM(AU68:AU69)</f>
        <v>0</v>
      </c>
      <c r="AV67" s="39">
        <f t="shared" ref="AV67:BF67" si="347">SUM(AV68:AV69)</f>
        <v>0</v>
      </c>
      <c r="AW67" s="39">
        <f t="shared" si="347"/>
        <v>0</v>
      </c>
      <c r="AX67" s="39">
        <f t="shared" si="347"/>
        <v>0</v>
      </c>
      <c r="AY67" s="39">
        <f t="shared" si="347"/>
        <v>0</v>
      </c>
      <c r="AZ67" s="39">
        <f t="shared" si="347"/>
        <v>0</v>
      </c>
      <c r="BA67" s="39">
        <f t="shared" si="347"/>
        <v>0</v>
      </c>
      <c r="BB67" s="39">
        <f t="shared" si="347"/>
        <v>0</v>
      </c>
      <c r="BC67" s="39">
        <f t="shared" si="347"/>
        <v>0</v>
      </c>
      <c r="BD67" s="39">
        <f t="shared" si="347"/>
        <v>0</v>
      </c>
      <c r="BE67" s="39">
        <f t="shared" si="347"/>
        <v>0</v>
      </c>
      <c r="BF67" s="39">
        <f t="shared" si="347"/>
        <v>0</v>
      </c>
      <c r="BH67" s="39">
        <f>SUM(BH68:BH69)</f>
        <v>0</v>
      </c>
      <c r="BI67" s="39">
        <f t="shared" ref="BI67:BS67" si="348">SUM(BI68:BI69)</f>
        <v>0</v>
      </c>
      <c r="BJ67" s="39">
        <f t="shared" si="348"/>
        <v>0</v>
      </c>
      <c r="BK67" s="39">
        <f t="shared" si="348"/>
        <v>0</v>
      </c>
      <c r="BL67" s="39">
        <f t="shared" si="348"/>
        <v>0</v>
      </c>
      <c r="BM67" s="39">
        <f t="shared" si="348"/>
        <v>0</v>
      </c>
      <c r="BN67" s="39">
        <f t="shared" si="348"/>
        <v>0</v>
      </c>
      <c r="BO67" s="39">
        <f t="shared" si="348"/>
        <v>0</v>
      </c>
      <c r="BP67" s="39">
        <f t="shared" si="348"/>
        <v>0</v>
      </c>
      <c r="BQ67" s="39">
        <f t="shared" si="348"/>
        <v>0</v>
      </c>
      <c r="BR67" s="39">
        <f t="shared" si="348"/>
        <v>0</v>
      </c>
      <c r="BS67" s="39">
        <f t="shared" si="348"/>
        <v>0</v>
      </c>
      <c r="BU67" s="39">
        <f>SUM(BU68:BU69)</f>
        <v>0</v>
      </c>
      <c r="BV67" s="39">
        <f t="shared" ref="BV67:CF67" si="349">SUM(BV68:BV69)</f>
        <v>0</v>
      </c>
      <c r="BW67" s="39">
        <f t="shared" si="349"/>
        <v>0</v>
      </c>
      <c r="BX67" s="39">
        <f t="shared" si="349"/>
        <v>0</v>
      </c>
      <c r="BY67" s="39">
        <f t="shared" si="349"/>
        <v>0</v>
      </c>
      <c r="BZ67" s="39">
        <f t="shared" si="349"/>
        <v>0</v>
      </c>
      <c r="CA67" s="39">
        <f t="shared" si="349"/>
        <v>0</v>
      </c>
      <c r="CB67" s="39">
        <f t="shared" si="349"/>
        <v>0</v>
      </c>
      <c r="CC67" s="39">
        <f t="shared" si="349"/>
        <v>0</v>
      </c>
      <c r="CD67" s="39">
        <f t="shared" si="349"/>
        <v>0</v>
      </c>
      <c r="CE67" s="39">
        <f t="shared" si="349"/>
        <v>0</v>
      </c>
      <c r="CF67" s="39">
        <f t="shared" si="349"/>
        <v>0</v>
      </c>
    </row>
    <row r="68" spans="1:84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/>
      <c r="P68" s="26"/>
      <c r="Q68" s="26"/>
      <c r="R68" s="26"/>
      <c r="S68" s="26"/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</row>
    <row r="69" spans="1:84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/>
      <c r="P69" s="26"/>
      <c r="Q69" s="26"/>
      <c r="R69" s="26"/>
      <c r="S69" s="26"/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</row>
    <row r="70" spans="1:84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N70" si="350">SUM(I71:I76)</f>
        <v>0</v>
      </c>
      <c r="J70" s="39">
        <f t="shared" si="350"/>
        <v>0</v>
      </c>
      <c r="K70" s="39">
        <f t="shared" si="350"/>
        <v>0</v>
      </c>
      <c r="L70" s="39">
        <f t="shared" si="350"/>
        <v>0</v>
      </c>
      <c r="M70" s="39">
        <f t="shared" si="350"/>
        <v>0</v>
      </c>
      <c r="N70" s="39">
        <f t="shared" si="350"/>
        <v>0</v>
      </c>
      <c r="O70" s="39"/>
      <c r="P70" s="39"/>
      <c r="Q70" s="39"/>
      <c r="R70" s="39"/>
      <c r="S70" s="39"/>
      <c r="T70" s="5"/>
      <c r="U70" s="39">
        <f>SUM(U71:U76)</f>
        <v>0</v>
      </c>
      <c r="V70" s="39">
        <f t="shared" ref="V70:AF70" si="351">SUM(V71:V76)</f>
        <v>0</v>
      </c>
      <c r="W70" s="39">
        <f t="shared" si="351"/>
        <v>0</v>
      </c>
      <c r="X70" s="39">
        <f t="shared" si="351"/>
        <v>0</v>
      </c>
      <c r="Y70" s="39">
        <f t="shared" si="351"/>
        <v>0</v>
      </c>
      <c r="Z70" s="39">
        <f t="shared" si="351"/>
        <v>0</v>
      </c>
      <c r="AA70" s="39">
        <f t="shared" si="351"/>
        <v>0</v>
      </c>
      <c r="AB70" s="39">
        <f t="shared" si="351"/>
        <v>0</v>
      </c>
      <c r="AC70" s="39">
        <f t="shared" si="351"/>
        <v>0</v>
      </c>
      <c r="AD70" s="39">
        <f t="shared" si="351"/>
        <v>0</v>
      </c>
      <c r="AE70" s="39">
        <f t="shared" si="351"/>
        <v>0</v>
      </c>
      <c r="AF70" s="39">
        <f t="shared" si="351"/>
        <v>0</v>
      </c>
      <c r="AG70" s="5"/>
      <c r="AH70" s="39">
        <f>SUM(AH71:AH76)</f>
        <v>0</v>
      </c>
      <c r="AI70" s="39">
        <f t="shared" ref="AI70:AS70" si="352">SUM(AI71:AI76)</f>
        <v>0</v>
      </c>
      <c r="AJ70" s="39">
        <f t="shared" si="352"/>
        <v>0</v>
      </c>
      <c r="AK70" s="39">
        <f t="shared" si="352"/>
        <v>0</v>
      </c>
      <c r="AL70" s="39">
        <f t="shared" si="352"/>
        <v>0</v>
      </c>
      <c r="AM70" s="39">
        <f t="shared" si="352"/>
        <v>0</v>
      </c>
      <c r="AN70" s="39">
        <f t="shared" si="352"/>
        <v>0</v>
      </c>
      <c r="AO70" s="39">
        <f t="shared" si="352"/>
        <v>0</v>
      </c>
      <c r="AP70" s="39">
        <f t="shared" si="352"/>
        <v>0</v>
      </c>
      <c r="AQ70" s="39">
        <f t="shared" si="352"/>
        <v>0</v>
      </c>
      <c r="AR70" s="39">
        <f t="shared" si="352"/>
        <v>0</v>
      </c>
      <c r="AS70" s="39">
        <f t="shared" si="352"/>
        <v>0</v>
      </c>
      <c r="AU70" s="39">
        <f>SUM(AU71:AU76)</f>
        <v>0</v>
      </c>
      <c r="AV70" s="39">
        <f t="shared" ref="AV70:BF70" si="353">SUM(AV71:AV76)</f>
        <v>0</v>
      </c>
      <c r="AW70" s="39">
        <f t="shared" si="353"/>
        <v>0</v>
      </c>
      <c r="AX70" s="39">
        <f t="shared" si="353"/>
        <v>0</v>
      </c>
      <c r="AY70" s="39">
        <f t="shared" si="353"/>
        <v>0</v>
      </c>
      <c r="AZ70" s="39">
        <f t="shared" si="353"/>
        <v>0</v>
      </c>
      <c r="BA70" s="39">
        <f t="shared" si="353"/>
        <v>0</v>
      </c>
      <c r="BB70" s="39">
        <f t="shared" si="353"/>
        <v>0</v>
      </c>
      <c r="BC70" s="39">
        <f t="shared" si="353"/>
        <v>0</v>
      </c>
      <c r="BD70" s="39">
        <f t="shared" si="353"/>
        <v>0</v>
      </c>
      <c r="BE70" s="39">
        <f t="shared" si="353"/>
        <v>0</v>
      </c>
      <c r="BF70" s="39">
        <f t="shared" si="353"/>
        <v>0</v>
      </c>
      <c r="BH70" s="39">
        <f>SUM(BH71:BH76)</f>
        <v>0</v>
      </c>
      <c r="BI70" s="39">
        <f t="shared" ref="BI70:BS70" si="354">SUM(BI71:BI76)</f>
        <v>0</v>
      </c>
      <c r="BJ70" s="39">
        <f t="shared" si="354"/>
        <v>0</v>
      </c>
      <c r="BK70" s="39">
        <f t="shared" si="354"/>
        <v>0</v>
      </c>
      <c r="BL70" s="39">
        <f t="shared" si="354"/>
        <v>0</v>
      </c>
      <c r="BM70" s="39">
        <f t="shared" si="354"/>
        <v>0</v>
      </c>
      <c r="BN70" s="39">
        <f t="shared" si="354"/>
        <v>0</v>
      </c>
      <c r="BO70" s="39">
        <f t="shared" si="354"/>
        <v>0</v>
      </c>
      <c r="BP70" s="39">
        <f t="shared" si="354"/>
        <v>0</v>
      </c>
      <c r="BQ70" s="39">
        <f t="shared" si="354"/>
        <v>0</v>
      </c>
      <c r="BR70" s="39">
        <f t="shared" si="354"/>
        <v>0</v>
      </c>
      <c r="BS70" s="39">
        <f t="shared" si="354"/>
        <v>0</v>
      </c>
      <c r="BU70" s="39">
        <f>SUM(BU71:BU76)</f>
        <v>0</v>
      </c>
      <c r="BV70" s="39">
        <f t="shared" ref="BV70:CF70" si="355">SUM(BV71:BV76)</f>
        <v>0</v>
      </c>
      <c r="BW70" s="39">
        <f t="shared" si="355"/>
        <v>0</v>
      </c>
      <c r="BX70" s="39">
        <f t="shared" si="355"/>
        <v>0</v>
      </c>
      <c r="BY70" s="39">
        <f t="shared" si="355"/>
        <v>0</v>
      </c>
      <c r="BZ70" s="39">
        <f t="shared" si="355"/>
        <v>0</v>
      </c>
      <c r="CA70" s="39">
        <f t="shared" si="355"/>
        <v>0</v>
      </c>
      <c r="CB70" s="39">
        <f t="shared" si="355"/>
        <v>0</v>
      </c>
      <c r="CC70" s="39">
        <f t="shared" si="355"/>
        <v>0</v>
      </c>
      <c r="CD70" s="39">
        <f t="shared" si="355"/>
        <v>0</v>
      </c>
      <c r="CE70" s="39">
        <f t="shared" si="355"/>
        <v>0</v>
      </c>
      <c r="CF70" s="39">
        <f t="shared" si="355"/>
        <v>0</v>
      </c>
    </row>
    <row r="71" spans="1:84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/>
      <c r="P71" s="26"/>
      <c r="Q71" s="26"/>
      <c r="R71" s="26"/>
      <c r="S71" s="26"/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</row>
    <row r="72" spans="1:84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/>
      <c r="P72" s="26"/>
      <c r="Q72" s="26"/>
      <c r="R72" s="26"/>
      <c r="S72" s="26"/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</row>
    <row r="73" spans="1:84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/>
      <c r="P73" s="26"/>
      <c r="Q73" s="26"/>
      <c r="R73" s="26"/>
      <c r="S73" s="26"/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</row>
    <row r="74" spans="1:84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/>
      <c r="P74" s="26"/>
      <c r="Q74" s="26"/>
      <c r="R74" s="26"/>
      <c r="S74" s="26"/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</row>
    <row r="75" spans="1:84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/>
      <c r="P75" s="26"/>
      <c r="Q75" s="26"/>
      <c r="R75" s="26"/>
      <c r="S75" s="26"/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</row>
    <row r="76" spans="1:84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/>
      <c r="P76" s="26"/>
      <c r="Q76" s="26"/>
      <c r="R76" s="26"/>
      <c r="S76" s="26"/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84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356">E79</f>
        <v>0</v>
      </c>
      <c r="F77" s="39">
        <f t="shared" ref="F77:G77" si="357">F79</f>
        <v>147.22874999999999</v>
      </c>
      <c r="G77" s="39">
        <f t="shared" si="357"/>
        <v>294.45749999999998</v>
      </c>
      <c r="H77" s="39">
        <f>H79</f>
        <v>1585.9649999999997</v>
      </c>
      <c r="I77" s="39">
        <f t="shared" ref="I77:N77" si="358">I79</f>
        <v>1585.9649999999997</v>
      </c>
      <c r="J77" s="39">
        <f t="shared" si="358"/>
        <v>1585.9649999999997</v>
      </c>
      <c r="K77" s="39">
        <f t="shared" si="358"/>
        <v>1585.9649999999997</v>
      </c>
      <c r="L77" s="39">
        <f t="shared" si="358"/>
        <v>1585.9649999999997</v>
      </c>
      <c r="M77" s="39">
        <f t="shared" si="358"/>
        <v>1585.9649999999997</v>
      </c>
      <c r="N77" s="39">
        <f t="shared" si="358"/>
        <v>1585.9649999999997</v>
      </c>
      <c r="O77" s="39"/>
      <c r="P77" s="39"/>
      <c r="Q77" s="39"/>
      <c r="R77" s="39"/>
      <c r="S77" s="39"/>
      <c r="T77" s="5"/>
      <c r="U77" s="39">
        <f>U79</f>
        <v>3316.3124999999995</v>
      </c>
      <c r="V77" s="39">
        <f t="shared" ref="V77:AF77" si="359">V79</f>
        <v>3316.3124999999995</v>
      </c>
      <c r="W77" s="39">
        <f t="shared" si="359"/>
        <v>9025.8971874999988</v>
      </c>
      <c r="X77" s="39">
        <f t="shared" si="359"/>
        <v>9025.8971874999988</v>
      </c>
      <c r="Y77" s="39">
        <f t="shared" si="359"/>
        <v>9025.8971874999988</v>
      </c>
      <c r="Z77" s="39">
        <f t="shared" si="359"/>
        <v>9025.8971874999988</v>
      </c>
      <c r="AA77" s="39">
        <f t="shared" si="359"/>
        <v>9025.8971874999988</v>
      </c>
      <c r="AB77" s="39">
        <f t="shared" si="359"/>
        <v>9025.8971874999988</v>
      </c>
      <c r="AC77" s="39">
        <f t="shared" si="359"/>
        <v>9025.8971874999988</v>
      </c>
      <c r="AD77" s="39">
        <f t="shared" si="359"/>
        <v>9025.8971874999988</v>
      </c>
      <c r="AE77" s="39">
        <f t="shared" si="359"/>
        <v>9025.8971874999988</v>
      </c>
      <c r="AF77" s="39">
        <f t="shared" si="359"/>
        <v>9025.8971874999988</v>
      </c>
      <c r="AG77" s="5"/>
      <c r="AH77" s="39">
        <f>AH79</f>
        <v>14441.4355</v>
      </c>
      <c r="AI77" s="39">
        <f t="shared" ref="AI77:AS77" si="360">AI79</f>
        <v>14441.4355</v>
      </c>
      <c r="AJ77" s="39">
        <f t="shared" si="360"/>
        <v>14441.4355</v>
      </c>
      <c r="AK77" s="39">
        <f t="shared" si="360"/>
        <v>14441.4355</v>
      </c>
      <c r="AL77" s="39">
        <f t="shared" si="360"/>
        <v>14441.4355</v>
      </c>
      <c r="AM77" s="39">
        <f t="shared" si="360"/>
        <v>14441.4355</v>
      </c>
      <c r="AN77" s="39">
        <f t="shared" si="360"/>
        <v>14441.4355</v>
      </c>
      <c r="AO77" s="39">
        <f t="shared" si="360"/>
        <v>14441.4355</v>
      </c>
      <c r="AP77" s="39">
        <f t="shared" si="360"/>
        <v>14441.4355</v>
      </c>
      <c r="AQ77" s="39">
        <f t="shared" si="360"/>
        <v>14441.4355</v>
      </c>
      <c r="AR77" s="39">
        <f t="shared" si="360"/>
        <v>14441.4355</v>
      </c>
      <c r="AS77" s="39">
        <f t="shared" si="360"/>
        <v>14441.4355</v>
      </c>
      <c r="AU77" s="39">
        <f>AU79</f>
        <v>18051.794374999998</v>
      </c>
      <c r="AV77" s="39">
        <f t="shared" ref="AV77:BF77" si="361">AV79</f>
        <v>18051.794374999998</v>
      </c>
      <c r="AW77" s="39">
        <f t="shared" si="361"/>
        <v>18051.794374999998</v>
      </c>
      <c r="AX77" s="39">
        <f t="shared" si="361"/>
        <v>18051.794374999998</v>
      </c>
      <c r="AY77" s="39">
        <f t="shared" si="361"/>
        <v>18051.794374999998</v>
      </c>
      <c r="AZ77" s="39">
        <f t="shared" si="361"/>
        <v>18051.794374999998</v>
      </c>
      <c r="BA77" s="39">
        <f t="shared" si="361"/>
        <v>18051.794374999998</v>
      </c>
      <c r="BB77" s="39">
        <f t="shared" si="361"/>
        <v>18051.794374999998</v>
      </c>
      <c r="BC77" s="39">
        <f t="shared" si="361"/>
        <v>18051.794374999998</v>
      </c>
      <c r="BD77" s="39">
        <f t="shared" si="361"/>
        <v>18051.794374999998</v>
      </c>
      <c r="BE77" s="39">
        <f t="shared" si="361"/>
        <v>18051.794374999998</v>
      </c>
      <c r="BF77" s="39">
        <f t="shared" si="361"/>
        <v>18051.794374999998</v>
      </c>
      <c r="BH77" s="39">
        <f>BH79</f>
        <v>21662.153249999996</v>
      </c>
      <c r="BI77" s="39">
        <f t="shared" ref="BI77:BS77" si="362">BI79</f>
        <v>21662.153249999996</v>
      </c>
      <c r="BJ77" s="39">
        <f t="shared" si="362"/>
        <v>21662.153249999996</v>
      </c>
      <c r="BK77" s="39">
        <f t="shared" si="362"/>
        <v>21662.153249999996</v>
      </c>
      <c r="BL77" s="39">
        <f t="shared" si="362"/>
        <v>21662.153249999996</v>
      </c>
      <c r="BM77" s="39">
        <f t="shared" si="362"/>
        <v>21662.153249999996</v>
      </c>
      <c r="BN77" s="39">
        <f t="shared" si="362"/>
        <v>21662.153249999996</v>
      </c>
      <c r="BO77" s="39">
        <f t="shared" si="362"/>
        <v>21662.153249999996</v>
      </c>
      <c r="BP77" s="39">
        <f t="shared" si="362"/>
        <v>21662.153249999996</v>
      </c>
      <c r="BQ77" s="39">
        <f t="shared" si="362"/>
        <v>21662.153249999996</v>
      </c>
      <c r="BR77" s="39">
        <f t="shared" si="362"/>
        <v>21662.153249999996</v>
      </c>
      <c r="BS77" s="39">
        <f t="shared" si="362"/>
        <v>21662.153249999996</v>
      </c>
      <c r="BU77" s="39">
        <f>BU79</f>
        <v>25272.512124999994</v>
      </c>
      <c r="BV77" s="39">
        <f t="shared" ref="BV77:CF77" si="363">BV79</f>
        <v>25272.512124999994</v>
      </c>
      <c r="BW77" s="39">
        <f t="shared" si="363"/>
        <v>25272.512124999994</v>
      </c>
      <c r="BX77" s="39">
        <f t="shared" si="363"/>
        <v>25272.512124999994</v>
      </c>
      <c r="BY77" s="39">
        <f t="shared" si="363"/>
        <v>25272.512124999994</v>
      </c>
      <c r="BZ77" s="39">
        <f t="shared" si="363"/>
        <v>25272.512124999994</v>
      </c>
      <c r="CA77" s="39">
        <f t="shared" si="363"/>
        <v>25272.512124999994</v>
      </c>
      <c r="CB77" s="39">
        <f t="shared" si="363"/>
        <v>25272.512124999994</v>
      </c>
      <c r="CC77" s="39">
        <f t="shared" si="363"/>
        <v>25272.512124999994</v>
      </c>
      <c r="CD77" s="39">
        <f t="shared" si="363"/>
        <v>25272.512124999994</v>
      </c>
      <c r="CE77" s="39">
        <f t="shared" si="363"/>
        <v>25272.512124999994</v>
      </c>
      <c r="CF77" s="39">
        <f t="shared" si="363"/>
        <v>25272.512124999994</v>
      </c>
    </row>
    <row r="78" spans="1:84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/>
      <c r="P78" s="58"/>
      <c r="Q78" s="58"/>
      <c r="R78" s="58"/>
      <c r="S78" s="58"/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</row>
    <row r="79" spans="1:84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N79" si="364">E78*E2</f>
        <v>0</v>
      </c>
      <c r="F79" s="26">
        <f t="shared" si="364"/>
        <v>147.22874999999999</v>
      </c>
      <c r="G79" s="26">
        <f>G78*G2</f>
        <v>294.45749999999998</v>
      </c>
      <c r="H79" s="26">
        <f t="shared" si="364"/>
        <v>1585.9649999999997</v>
      </c>
      <c r="I79" s="26">
        <f t="shared" si="364"/>
        <v>1585.9649999999997</v>
      </c>
      <c r="J79" s="26">
        <f t="shared" si="364"/>
        <v>1585.9649999999997</v>
      </c>
      <c r="K79" s="26">
        <f t="shared" si="364"/>
        <v>1585.9649999999997</v>
      </c>
      <c r="L79" s="26">
        <f t="shared" si="364"/>
        <v>1585.9649999999997</v>
      </c>
      <c r="M79" s="26">
        <f t="shared" si="364"/>
        <v>1585.9649999999997</v>
      </c>
      <c r="N79" s="26">
        <f t="shared" si="364"/>
        <v>1585.9649999999997</v>
      </c>
      <c r="O79" s="26"/>
      <c r="P79" s="26"/>
      <c r="Q79" s="26"/>
      <c r="R79" s="26"/>
      <c r="S79" s="26"/>
      <c r="T79" s="5"/>
      <c r="U79" s="26">
        <f t="shared" ref="U79:AF79" si="365">U78*U2</f>
        <v>3316.3124999999995</v>
      </c>
      <c r="V79" s="26">
        <f t="shared" si="365"/>
        <v>3316.3124999999995</v>
      </c>
      <c r="W79" s="26">
        <f t="shared" si="365"/>
        <v>9025.8971874999988</v>
      </c>
      <c r="X79" s="26">
        <f t="shared" si="365"/>
        <v>9025.8971874999988</v>
      </c>
      <c r="Y79" s="26">
        <f t="shared" si="365"/>
        <v>9025.8971874999988</v>
      </c>
      <c r="Z79" s="26">
        <f t="shared" si="365"/>
        <v>9025.8971874999988</v>
      </c>
      <c r="AA79" s="26">
        <f t="shared" si="365"/>
        <v>9025.8971874999988</v>
      </c>
      <c r="AB79" s="26">
        <f t="shared" si="365"/>
        <v>9025.8971874999988</v>
      </c>
      <c r="AC79" s="26">
        <f t="shared" si="365"/>
        <v>9025.8971874999988</v>
      </c>
      <c r="AD79" s="26">
        <f t="shared" si="365"/>
        <v>9025.8971874999988</v>
      </c>
      <c r="AE79" s="26">
        <f t="shared" si="365"/>
        <v>9025.8971874999988</v>
      </c>
      <c r="AF79" s="26">
        <f t="shared" si="365"/>
        <v>9025.8971874999988</v>
      </c>
      <c r="AG79" s="5"/>
      <c r="AH79" s="26">
        <f t="shared" ref="AH79:AS79" si="366">AH78*AH2</f>
        <v>14441.4355</v>
      </c>
      <c r="AI79" s="26">
        <f t="shared" si="366"/>
        <v>14441.4355</v>
      </c>
      <c r="AJ79" s="26">
        <f t="shared" si="366"/>
        <v>14441.4355</v>
      </c>
      <c r="AK79" s="26">
        <f t="shared" si="366"/>
        <v>14441.4355</v>
      </c>
      <c r="AL79" s="26">
        <f t="shared" si="366"/>
        <v>14441.4355</v>
      </c>
      <c r="AM79" s="26">
        <f t="shared" si="366"/>
        <v>14441.4355</v>
      </c>
      <c r="AN79" s="26">
        <f t="shared" si="366"/>
        <v>14441.4355</v>
      </c>
      <c r="AO79" s="26">
        <f t="shared" si="366"/>
        <v>14441.4355</v>
      </c>
      <c r="AP79" s="26">
        <f t="shared" si="366"/>
        <v>14441.4355</v>
      </c>
      <c r="AQ79" s="26">
        <f t="shared" si="366"/>
        <v>14441.4355</v>
      </c>
      <c r="AR79" s="26">
        <f t="shared" si="366"/>
        <v>14441.4355</v>
      </c>
      <c r="AS79" s="26">
        <f t="shared" si="366"/>
        <v>14441.4355</v>
      </c>
      <c r="AU79" s="26">
        <f t="shared" ref="AU79:BF79" si="367">AU78*AU2</f>
        <v>18051.794374999998</v>
      </c>
      <c r="AV79" s="26">
        <f t="shared" si="367"/>
        <v>18051.794374999998</v>
      </c>
      <c r="AW79" s="26">
        <f t="shared" si="367"/>
        <v>18051.794374999998</v>
      </c>
      <c r="AX79" s="26">
        <f t="shared" si="367"/>
        <v>18051.794374999998</v>
      </c>
      <c r="AY79" s="26">
        <f t="shared" si="367"/>
        <v>18051.794374999998</v>
      </c>
      <c r="AZ79" s="26">
        <f t="shared" si="367"/>
        <v>18051.794374999998</v>
      </c>
      <c r="BA79" s="26">
        <f t="shared" si="367"/>
        <v>18051.794374999998</v>
      </c>
      <c r="BB79" s="26">
        <f t="shared" si="367"/>
        <v>18051.794374999998</v>
      </c>
      <c r="BC79" s="26">
        <f t="shared" si="367"/>
        <v>18051.794374999998</v>
      </c>
      <c r="BD79" s="26">
        <f t="shared" si="367"/>
        <v>18051.794374999998</v>
      </c>
      <c r="BE79" s="26">
        <f t="shared" si="367"/>
        <v>18051.794374999998</v>
      </c>
      <c r="BF79" s="26">
        <f t="shared" si="367"/>
        <v>18051.794374999998</v>
      </c>
      <c r="BH79" s="26">
        <f t="shared" ref="BH79:BS79" si="368">BH78*BH2</f>
        <v>21662.153249999996</v>
      </c>
      <c r="BI79" s="26">
        <f t="shared" si="368"/>
        <v>21662.153249999996</v>
      </c>
      <c r="BJ79" s="26">
        <f t="shared" si="368"/>
        <v>21662.153249999996</v>
      </c>
      <c r="BK79" s="26">
        <f t="shared" si="368"/>
        <v>21662.153249999996</v>
      </c>
      <c r="BL79" s="26">
        <f t="shared" si="368"/>
        <v>21662.153249999996</v>
      </c>
      <c r="BM79" s="26">
        <f t="shared" si="368"/>
        <v>21662.153249999996</v>
      </c>
      <c r="BN79" s="26">
        <f t="shared" si="368"/>
        <v>21662.153249999996</v>
      </c>
      <c r="BO79" s="26">
        <f t="shared" si="368"/>
        <v>21662.153249999996</v>
      </c>
      <c r="BP79" s="26">
        <f t="shared" si="368"/>
        <v>21662.153249999996</v>
      </c>
      <c r="BQ79" s="26">
        <f t="shared" si="368"/>
        <v>21662.153249999996</v>
      </c>
      <c r="BR79" s="26">
        <f t="shared" si="368"/>
        <v>21662.153249999996</v>
      </c>
      <c r="BS79" s="26">
        <f t="shared" si="368"/>
        <v>21662.153249999996</v>
      </c>
      <c r="BU79" s="26">
        <f t="shared" ref="BU79:CF79" si="369">BU78*BU2</f>
        <v>25272.512124999994</v>
      </c>
      <c r="BV79" s="26">
        <f t="shared" si="369"/>
        <v>25272.512124999994</v>
      </c>
      <c r="BW79" s="26">
        <f t="shared" si="369"/>
        <v>25272.512124999994</v>
      </c>
      <c r="BX79" s="26">
        <f t="shared" si="369"/>
        <v>25272.512124999994</v>
      </c>
      <c r="BY79" s="26">
        <f t="shared" si="369"/>
        <v>25272.512124999994</v>
      </c>
      <c r="BZ79" s="26">
        <f t="shared" si="369"/>
        <v>25272.512124999994</v>
      </c>
      <c r="CA79" s="26">
        <f t="shared" si="369"/>
        <v>25272.512124999994</v>
      </c>
      <c r="CB79" s="26">
        <f t="shared" si="369"/>
        <v>25272.512124999994</v>
      </c>
      <c r="CC79" s="26">
        <f t="shared" si="369"/>
        <v>25272.512124999994</v>
      </c>
      <c r="CD79" s="26">
        <f t="shared" si="369"/>
        <v>25272.512124999994</v>
      </c>
      <c r="CE79" s="26">
        <f t="shared" si="369"/>
        <v>25272.512124999994</v>
      </c>
      <c r="CF79" s="26">
        <f t="shared" si="369"/>
        <v>25272.512124999994</v>
      </c>
    </row>
    <row r="80" spans="1:84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N82" si="370">G81</f>
        <v>0</v>
      </c>
      <c r="H80" s="21">
        <f>H81</f>
        <v>0</v>
      </c>
      <c r="I80" s="21">
        <f t="shared" si="370"/>
        <v>0</v>
      </c>
      <c r="J80" s="21">
        <f t="shared" si="370"/>
        <v>0</v>
      </c>
      <c r="K80" s="21">
        <f t="shared" si="370"/>
        <v>0</v>
      </c>
      <c r="L80" s="21">
        <f t="shared" si="370"/>
        <v>0</v>
      </c>
      <c r="M80" s="21">
        <f t="shared" si="370"/>
        <v>0</v>
      </c>
      <c r="N80" s="21">
        <f t="shared" si="370"/>
        <v>0</v>
      </c>
      <c r="O80" s="21"/>
      <c r="P80" s="21"/>
      <c r="Q80" s="21"/>
      <c r="R80" s="21"/>
      <c r="S80" s="21"/>
      <c r="T80" s="5"/>
      <c r="U80" s="21">
        <f>U81</f>
        <v>0</v>
      </c>
      <c r="V80" s="21">
        <f t="shared" ref="V80:AF82" si="371">V81</f>
        <v>0</v>
      </c>
      <c r="W80" s="21">
        <f t="shared" si="371"/>
        <v>0</v>
      </c>
      <c r="X80" s="21">
        <f t="shared" si="371"/>
        <v>0</v>
      </c>
      <c r="Y80" s="21">
        <f t="shared" si="371"/>
        <v>0</v>
      </c>
      <c r="Z80" s="21">
        <f t="shared" si="371"/>
        <v>0</v>
      </c>
      <c r="AA80" s="21">
        <f t="shared" si="371"/>
        <v>0</v>
      </c>
      <c r="AB80" s="21">
        <f t="shared" si="371"/>
        <v>0</v>
      </c>
      <c r="AC80" s="21">
        <f t="shared" si="371"/>
        <v>0</v>
      </c>
      <c r="AD80" s="21">
        <f t="shared" si="371"/>
        <v>0</v>
      </c>
      <c r="AE80" s="21">
        <f t="shared" si="371"/>
        <v>0</v>
      </c>
      <c r="AF80" s="21">
        <f t="shared" si="371"/>
        <v>0</v>
      </c>
      <c r="AG80" s="5"/>
      <c r="AH80" s="21">
        <f>AH81</f>
        <v>0</v>
      </c>
      <c r="AI80" s="21">
        <f t="shared" ref="AI80:AS82" si="372">AI81</f>
        <v>0</v>
      </c>
      <c r="AJ80" s="21">
        <f t="shared" si="372"/>
        <v>0</v>
      </c>
      <c r="AK80" s="21">
        <f t="shared" si="372"/>
        <v>0</v>
      </c>
      <c r="AL80" s="21">
        <f t="shared" si="372"/>
        <v>0</v>
      </c>
      <c r="AM80" s="21">
        <f t="shared" si="372"/>
        <v>0</v>
      </c>
      <c r="AN80" s="21">
        <f t="shared" si="372"/>
        <v>0</v>
      </c>
      <c r="AO80" s="21">
        <f t="shared" si="372"/>
        <v>0</v>
      </c>
      <c r="AP80" s="21">
        <f t="shared" si="372"/>
        <v>0</v>
      </c>
      <c r="AQ80" s="21">
        <f t="shared" si="372"/>
        <v>0</v>
      </c>
      <c r="AR80" s="21">
        <f t="shared" si="372"/>
        <v>0</v>
      </c>
      <c r="AS80" s="21">
        <f t="shared" si="372"/>
        <v>0</v>
      </c>
      <c r="AU80" s="21">
        <f>AU81</f>
        <v>0</v>
      </c>
      <c r="AV80" s="21">
        <f t="shared" ref="AV80:BF82" si="373">AV81</f>
        <v>0</v>
      </c>
      <c r="AW80" s="21">
        <f t="shared" si="373"/>
        <v>0</v>
      </c>
      <c r="AX80" s="21">
        <f t="shared" si="373"/>
        <v>0</v>
      </c>
      <c r="AY80" s="21">
        <f t="shared" si="373"/>
        <v>0</v>
      </c>
      <c r="AZ80" s="21">
        <f t="shared" si="373"/>
        <v>0</v>
      </c>
      <c r="BA80" s="21">
        <f t="shared" si="373"/>
        <v>0</v>
      </c>
      <c r="BB80" s="21">
        <f t="shared" si="373"/>
        <v>0</v>
      </c>
      <c r="BC80" s="21">
        <f t="shared" si="373"/>
        <v>0</v>
      </c>
      <c r="BD80" s="21">
        <f t="shared" si="373"/>
        <v>0</v>
      </c>
      <c r="BE80" s="21">
        <f t="shared" si="373"/>
        <v>0</v>
      </c>
      <c r="BF80" s="21">
        <f t="shared" si="373"/>
        <v>0</v>
      </c>
      <c r="BH80" s="21">
        <f>BH81</f>
        <v>0</v>
      </c>
      <c r="BI80" s="21">
        <f t="shared" ref="BI80:BS82" si="374">BI81</f>
        <v>0</v>
      </c>
      <c r="BJ80" s="21">
        <f t="shared" si="374"/>
        <v>0</v>
      </c>
      <c r="BK80" s="21">
        <f t="shared" si="374"/>
        <v>0</v>
      </c>
      <c r="BL80" s="21">
        <f t="shared" si="374"/>
        <v>0</v>
      </c>
      <c r="BM80" s="21">
        <f t="shared" si="374"/>
        <v>0</v>
      </c>
      <c r="BN80" s="21">
        <f t="shared" si="374"/>
        <v>0</v>
      </c>
      <c r="BO80" s="21">
        <f t="shared" si="374"/>
        <v>0</v>
      </c>
      <c r="BP80" s="21">
        <f t="shared" si="374"/>
        <v>0</v>
      </c>
      <c r="BQ80" s="21">
        <f t="shared" si="374"/>
        <v>0</v>
      </c>
      <c r="BR80" s="21">
        <f t="shared" si="374"/>
        <v>0</v>
      </c>
      <c r="BS80" s="21">
        <f t="shared" si="374"/>
        <v>0</v>
      </c>
      <c r="BU80" s="21">
        <f>BU81</f>
        <v>0</v>
      </c>
      <c r="BV80" s="21">
        <f t="shared" ref="BV80:CF82" si="375">BV81</f>
        <v>0</v>
      </c>
      <c r="BW80" s="21">
        <f t="shared" si="375"/>
        <v>0</v>
      </c>
      <c r="BX80" s="21">
        <f t="shared" si="375"/>
        <v>0</v>
      </c>
      <c r="BY80" s="21">
        <f t="shared" si="375"/>
        <v>0</v>
      </c>
      <c r="BZ80" s="21">
        <f t="shared" si="375"/>
        <v>0</v>
      </c>
      <c r="CA80" s="21">
        <f t="shared" si="375"/>
        <v>0</v>
      </c>
      <c r="CB80" s="21">
        <f t="shared" si="375"/>
        <v>0</v>
      </c>
      <c r="CC80" s="21">
        <f t="shared" si="375"/>
        <v>0</v>
      </c>
      <c r="CD80" s="21">
        <f t="shared" si="375"/>
        <v>0</v>
      </c>
      <c r="CE80" s="21">
        <f t="shared" si="375"/>
        <v>0</v>
      </c>
      <c r="CF80" s="21">
        <f t="shared" si="375"/>
        <v>0</v>
      </c>
    </row>
    <row r="81" spans="1:84" ht="15" thickBot="1">
      <c r="A81" s="19" t="s">
        <v>156</v>
      </c>
      <c r="B81" s="5" t="s">
        <v>205</v>
      </c>
      <c r="D81" s="57">
        <v>0</v>
      </c>
      <c r="E81" s="273">
        <f>SUM('Custo investimento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</row>
    <row r="82" spans="1:84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376">E83</f>
        <v>0</v>
      </c>
      <c r="F82" s="21">
        <f>F83</f>
        <v>0</v>
      </c>
      <c r="G82" s="21">
        <f t="shared" si="370"/>
        <v>0</v>
      </c>
      <c r="H82" s="21">
        <f>H83</f>
        <v>0</v>
      </c>
      <c r="I82" s="21">
        <f t="shared" si="370"/>
        <v>0</v>
      </c>
      <c r="J82" s="21">
        <f t="shared" si="370"/>
        <v>0</v>
      </c>
      <c r="K82" s="21">
        <f t="shared" si="370"/>
        <v>0</v>
      </c>
      <c r="L82" s="21">
        <f t="shared" si="370"/>
        <v>0</v>
      </c>
      <c r="M82" s="21">
        <f t="shared" si="370"/>
        <v>0</v>
      </c>
      <c r="N82" s="21">
        <f t="shared" si="370"/>
        <v>0</v>
      </c>
      <c r="O82" s="21"/>
      <c r="P82" s="21"/>
      <c r="Q82" s="21"/>
      <c r="R82" s="21"/>
      <c r="S82" s="21"/>
      <c r="T82" s="5"/>
      <c r="U82" s="21">
        <f>U83</f>
        <v>0</v>
      </c>
      <c r="V82" s="21">
        <f t="shared" si="371"/>
        <v>0</v>
      </c>
      <c r="W82" s="21">
        <f t="shared" si="371"/>
        <v>0</v>
      </c>
      <c r="X82" s="21">
        <f t="shared" si="371"/>
        <v>0</v>
      </c>
      <c r="Y82" s="21">
        <f t="shared" si="371"/>
        <v>0</v>
      </c>
      <c r="Z82" s="21">
        <f t="shared" si="371"/>
        <v>0</v>
      </c>
      <c r="AA82" s="21">
        <f t="shared" si="371"/>
        <v>0</v>
      </c>
      <c r="AB82" s="21">
        <f t="shared" si="371"/>
        <v>0</v>
      </c>
      <c r="AC82" s="21">
        <f t="shared" si="371"/>
        <v>0</v>
      </c>
      <c r="AD82" s="21">
        <f t="shared" si="371"/>
        <v>0</v>
      </c>
      <c r="AE82" s="21">
        <f t="shared" si="371"/>
        <v>0</v>
      </c>
      <c r="AF82" s="21">
        <f t="shared" si="371"/>
        <v>0</v>
      </c>
      <c r="AG82" s="5"/>
      <c r="AH82" s="21">
        <f>AH83</f>
        <v>0</v>
      </c>
      <c r="AI82" s="21">
        <f t="shared" si="372"/>
        <v>0</v>
      </c>
      <c r="AJ82" s="21">
        <f t="shared" si="372"/>
        <v>0</v>
      </c>
      <c r="AK82" s="21">
        <f t="shared" si="372"/>
        <v>0</v>
      </c>
      <c r="AL82" s="21">
        <f t="shared" si="372"/>
        <v>0</v>
      </c>
      <c r="AM82" s="21">
        <f t="shared" si="372"/>
        <v>0</v>
      </c>
      <c r="AN82" s="21">
        <f t="shared" si="372"/>
        <v>0</v>
      </c>
      <c r="AO82" s="21">
        <f t="shared" si="372"/>
        <v>0</v>
      </c>
      <c r="AP82" s="21">
        <f t="shared" si="372"/>
        <v>0</v>
      </c>
      <c r="AQ82" s="21">
        <f t="shared" si="372"/>
        <v>0</v>
      </c>
      <c r="AR82" s="21">
        <f t="shared" si="372"/>
        <v>0</v>
      </c>
      <c r="AS82" s="21">
        <f t="shared" si="372"/>
        <v>0</v>
      </c>
      <c r="AU82" s="21">
        <f>AU83</f>
        <v>0</v>
      </c>
      <c r="AV82" s="21">
        <f t="shared" si="373"/>
        <v>0</v>
      </c>
      <c r="AW82" s="21">
        <f t="shared" si="373"/>
        <v>0</v>
      </c>
      <c r="AX82" s="21">
        <f t="shared" si="373"/>
        <v>0</v>
      </c>
      <c r="AY82" s="21">
        <f t="shared" si="373"/>
        <v>0</v>
      </c>
      <c r="AZ82" s="21">
        <f t="shared" si="373"/>
        <v>0</v>
      </c>
      <c r="BA82" s="21">
        <f t="shared" si="373"/>
        <v>0</v>
      </c>
      <c r="BB82" s="21">
        <f t="shared" si="373"/>
        <v>0</v>
      </c>
      <c r="BC82" s="21">
        <f t="shared" si="373"/>
        <v>0</v>
      </c>
      <c r="BD82" s="21">
        <f t="shared" si="373"/>
        <v>0</v>
      </c>
      <c r="BE82" s="21">
        <f t="shared" si="373"/>
        <v>0</v>
      </c>
      <c r="BF82" s="21">
        <f t="shared" si="373"/>
        <v>0</v>
      </c>
      <c r="BH82" s="21">
        <f>BH83</f>
        <v>0</v>
      </c>
      <c r="BI82" s="21">
        <f t="shared" si="374"/>
        <v>0</v>
      </c>
      <c r="BJ82" s="21">
        <f t="shared" si="374"/>
        <v>0</v>
      </c>
      <c r="BK82" s="21">
        <f t="shared" si="374"/>
        <v>0</v>
      </c>
      <c r="BL82" s="21">
        <f t="shared" si="374"/>
        <v>0</v>
      </c>
      <c r="BM82" s="21">
        <f t="shared" si="374"/>
        <v>0</v>
      </c>
      <c r="BN82" s="21">
        <f t="shared" si="374"/>
        <v>0</v>
      </c>
      <c r="BO82" s="21">
        <f t="shared" si="374"/>
        <v>0</v>
      </c>
      <c r="BP82" s="21">
        <f t="shared" si="374"/>
        <v>0</v>
      </c>
      <c r="BQ82" s="21">
        <f t="shared" si="374"/>
        <v>0</v>
      </c>
      <c r="BR82" s="21">
        <f t="shared" si="374"/>
        <v>0</v>
      </c>
      <c r="BS82" s="21">
        <f t="shared" si="374"/>
        <v>0</v>
      </c>
      <c r="BU82" s="21">
        <f>BU83</f>
        <v>0</v>
      </c>
      <c r="BV82" s="21">
        <f t="shared" si="375"/>
        <v>0</v>
      </c>
      <c r="BW82" s="21">
        <f t="shared" si="375"/>
        <v>0</v>
      </c>
      <c r="BX82" s="21">
        <f t="shared" si="375"/>
        <v>0</v>
      </c>
      <c r="BY82" s="21">
        <f t="shared" si="375"/>
        <v>0</v>
      </c>
      <c r="BZ82" s="21">
        <f t="shared" si="375"/>
        <v>0</v>
      </c>
      <c r="CA82" s="21">
        <f t="shared" si="375"/>
        <v>0</v>
      </c>
      <c r="CB82" s="21">
        <f t="shared" si="375"/>
        <v>0</v>
      </c>
      <c r="CC82" s="21">
        <f t="shared" si="375"/>
        <v>0</v>
      </c>
      <c r="CD82" s="21">
        <f t="shared" si="375"/>
        <v>0</v>
      </c>
      <c r="CE82" s="21">
        <f t="shared" si="375"/>
        <v>0</v>
      </c>
      <c r="CF82" s="21">
        <f t="shared" si="375"/>
        <v>0</v>
      </c>
    </row>
    <row r="83" spans="1:84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/>
      <c r="P83" s="38"/>
      <c r="Q83" s="38"/>
      <c r="R83" s="38"/>
      <c r="S83" s="38"/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</row>
    <row r="84" spans="1:84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/>
      <c r="P84" s="19"/>
      <c r="Q84" s="19"/>
      <c r="R84" s="19"/>
      <c r="S84" s="19"/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</row>
    <row r="85" spans="1:84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84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84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84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665D-0A1E-4FCC-8D66-3D4593A55F9A}">
  <dimension ref="A1:J31"/>
  <sheetViews>
    <sheetView topLeftCell="A13" workbookViewId="0">
      <selection activeCell="D31" sqref="D31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38" t="s">
        <v>612</v>
      </c>
      <c r="B1" s="339"/>
      <c r="C1" s="339"/>
      <c r="D1" s="339"/>
      <c r="E1" s="339"/>
      <c r="F1" s="339"/>
      <c r="G1" s="340"/>
    </row>
    <row r="2" spans="1:10">
      <c r="A2" s="341" t="s">
        <v>542</v>
      </c>
      <c r="B2" s="342"/>
      <c r="C2" s="342"/>
      <c r="D2" s="343">
        <f>Financiamento!C7+Financiamento!C8</f>
        <v>472410.25999999989</v>
      </c>
      <c r="E2" s="343"/>
      <c r="F2" s="344"/>
      <c r="G2" s="345"/>
      <c r="I2" s="313" t="s">
        <v>614</v>
      </c>
      <c r="J2" s="284">
        <v>3</v>
      </c>
    </row>
    <row r="3" spans="1:10">
      <c r="A3" s="341" t="s">
        <v>467</v>
      </c>
      <c r="B3" s="342"/>
      <c r="C3" s="342"/>
      <c r="D3" s="343">
        <f>Financiamento!C10</f>
        <v>28000</v>
      </c>
      <c r="E3" s="343"/>
      <c r="F3" s="344"/>
      <c r="G3" s="345"/>
      <c r="I3" s="126" t="s">
        <v>615</v>
      </c>
      <c r="J3" s="93">
        <f>J2*J4</f>
        <v>86395.639374999984</v>
      </c>
    </row>
    <row r="4" spans="1:10" ht="15" thickBot="1">
      <c r="A4" s="341" t="s">
        <v>543</v>
      </c>
      <c r="B4" s="342"/>
      <c r="C4" s="342"/>
      <c r="D4" s="343">
        <v>250000</v>
      </c>
      <c r="E4" s="343"/>
      <c r="F4" s="344"/>
      <c r="G4" s="345"/>
      <c r="I4" s="128" t="s">
        <v>613</v>
      </c>
      <c r="J4" s="336">
        <f>AVERAGE(Orçamento!C10:N10)</f>
        <v>28798.546458333327</v>
      </c>
    </row>
    <row r="5" spans="1:10">
      <c r="A5" s="346" t="s">
        <v>582</v>
      </c>
      <c r="B5" s="347"/>
      <c r="C5" s="348"/>
      <c r="D5" s="349">
        <v>20000</v>
      </c>
      <c r="E5" s="350"/>
      <c r="F5" s="344"/>
      <c r="G5" s="345"/>
    </row>
    <row r="6" spans="1:10">
      <c r="A6" s="341" t="s">
        <v>616</v>
      </c>
      <c r="B6" s="342"/>
      <c r="C6" s="342"/>
      <c r="D6" s="343">
        <f>J3+J9</f>
        <v>195134.950625</v>
      </c>
      <c r="E6" s="343"/>
      <c r="F6" s="343"/>
      <c r="G6" s="354"/>
    </row>
    <row r="7" spans="1:10" ht="15.75" thickBot="1">
      <c r="A7" s="355" t="s">
        <v>138</v>
      </c>
      <c r="B7" s="356"/>
      <c r="C7" s="356"/>
      <c r="D7" s="357">
        <f>SUM(D2:E6)</f>
        <v>965545.21062499983</v>
      </c>
      <c r="E7" s="357"/>
      <c r="F7" s="358"/>
      <c r="G7" s="359"/>
    </row>
    <row r="8" spans="1:10" ht="15" thickBot="1">
      <c r="I8" s="313" t="s">
        <v>617</v>
      </c>
      <c r="J8" s="284">
        <v>9</v>
      </c>
    </row>
    <row r="9" spans="1:10" ht="15.75" thickBot="1">
      <c r="B9" s="351" t="s">
        <v>591</v>
      </c>
      <c r="C9" s="352"/>
      <c r="D9" s="353"/>
      <c r="I9" s="126" t="s">
        <v>615</v>
      </c>
      <c r="J9" s="102">
        <f>-(J8*J10)</f>
        <v>108739.31125</v>
      </c>
    </row>
    <row r="10" spans="1:10" ht="15" thickBot="1">
      <c r="B10" s="96"/>
      <c r="C10" s="133"/>
      <c r="D10" s="138"/>
      <c r="I10" s="128" t="s">
        <v>618</v>
      </c>
      <c r="J10" s="337">
        <f>AVERAGE(Orçamento!F5:N5)</f>
        <v>-12082.145694444444</v>
      </c>
    </row>
    <row r="11" spans="1:10">
      <c r="B11" s="126" t="s">
        <v>592</v>
      </c>
      <c r="C11" s="85"/>
      <c r="D11" s="310">
        <f>D2</f>
        <v>472410.25999999989</v>
      </c>
    </row>
    <row r="12" spans="1:10">
      <c r="B12" s="126" t="s">
        <v>593</v>
      </c>
      <c r="C12" s="85"/>
      <c r="D12" s="311">
        <v>1.0999999999999999E-2</v>
      </c>
    </row>
    <row r="13" spans="1:10">
      <c r="B13" s="126"/>
      <c r="C13" s="85"/>
      <c r="D13" s="310"/>
    </row>
    <row r="14" spans="1:10">
      <c r="B14" s="126" t="s">
        <v>594</v>
      </c>
      <c r="C14" s="85"/>
      <c r="D14" s="310">
        <f>D3+D4+D5</f>
        <v>298000</v>
      </c>
    </row>
    <row r="15" spans="1:10">
      <c r="B15" s="126" t="s">
        <v>595</v>
      </c>
      <c r="C15" s="86"/>
      <c r="D15" s="311">
        <v>1.7999999999999999E-2</v>
      </c>
    </row>
    <row r="16" spans="1:10" ht="15">
      <c r="B16" s="126"/>
      <c r="C16" s="85"/>
      <c r="D16" s="221"/>
    </row>
    <row r="17" spans="2:4">
      <c r="B17" s="126" t="s">
        <v>596</v>
      </c>
      <c r="C17" s="85"/>
      <c r="D17" s="310">
        <f>D6</f>
        <v>195134.950625</v>
      </c>
    </row>
    <row r="18" spans="2:4" ht="15" thickBot="1">
      <c r="B18" s="128" t="s">
        <v>597</v>
      </c>
      <c r="C18" s="165"/>
      <c r="D18" s="312">
        <f>2.2%</f>
        <v>2.2000000000000002E-2</v>
      </c>
    </row>
    <row r="19" spans="2:4" ht="15" thickBot="1"/>
    <row r="20" spans="2:4">
      <c r="B20" s="313" t="s">
        <v>598</v>
      </c>
      <c r="C20" s="314"/>
      <c r="D20" s="315">
        <f>D11/$D$7</f>
        <v>0.4892678818159199</v>
      </c>
    </row>
    <row r="21" spans="2:4">
      <c r="B21" s="126" t="s">
        <v>599</v>
      </c>
      <c r="C21" s="85"/>
      <c r="D21" s="316">
        <f>D14/$D$7</f>
        <v>0.30863391659009304</v>
      </c>
    </row>
    <row r="22" spans="2:4">
      <c r="B22" s="126" t="s">
        <v>600</v>
      </c>
      <c r="C22" s="85"/>
      <c r="D22" s="316">
        <f>D17/$D$7</f>
        <v>0.20209820159398714</v>
      </c>
    </row>
    <row r="23" spans="2:4">
      <c r="B23" s="126"/>
      <c r="C23" s="85"/>
      <c r="D23" s="127"/>
    </row>
    <row r="24" spans="2:4" ht="15" thickBot="1">
      <c r="B24" s="128" t="s">
        <v>601</v>
      </c>
      <c r="C24" s="165" t="s">
        <v>602</v>
      </c>
      <c r="D24" s="317">
        <f>D20*D12 + D21*D15 + D22*D18</f>
        <v>1.5383517633664511E-2</v>
      </c>
    </row>
    <row r="25" spans="2:4" ht="15" thickBot="1"/>
    <row r="26" spans="2:4" ht="15">
      <c r="B26" s="318" t="s">
        <v>603</v>
      </c>
      <c r="C26" s="319" t="s">
        <v>288</v>
      </c>
      <c r="D26" s="320">
        <v>72</v>
      </c>
    </row>
    <row r="27" spans="2:4" ht="15">
      <c r="B27" s="321" t="s">
        <v>604</v>
      </c>
      <c r="C27" s="322"/>
      <c r="D27" s="323">
        <f>$D$7*$D$24</f>
        <v>14853.48177375</v>
      </c>
    </row>
    <row r="28" spans="2:4" ht="15.75" thickBot="1">
      <c r="B28" s="324" t="s">
        <v>605</v>
      </c>
      <c r="C28" s="325"/>
      <c r="D28" s="326">
        <f>D27*D26</f>
        <v>1069450.68771</v>
      </c>
    </row>
    <row r="29" spans="2:4" ht="15" thickBot="1"/>
    <row r="30" spans="2:4" ht="15">
      <c r="B30" s="327" t="s">
        <v>606</v>
      </c>
      <c r="C30" s="319"/>
      <c r="D30" s="328">
        <f>Orçamento!CG5</f>
        <v>1722060.0214149996</v>
      </c>
    </row>
    <row r="31" spans="2:4" ht="15.75" thickBot="1">
      <c r="B31" s="329" t="s">
        <v>607</v>
      </c>
      <c r="C31" s="330"/>
      <c r="D31" s="331">
        <f>D30-D28</f>
        <v>652609.33370499965</v>
      </c>
    </row>
  </sheetData>
  <mergeCells count="20">
    <mergeCell ref="B9:D9"/>
    <mergeCell ref="A6:C6"/>
    <mergeCell ref="D6:E6"/>
    <mergeCell ref="F6:G6"/>
    <mergeCell ref="A7:C7"/>
    <mergeCell ref="D7:E7"/>
    <mergeCell ref="F7:G7"/>
    <mergeCell ref="A4:C4"/>
    <mergeCell ref="D4:E4"/>
    <mergeCell ref="F4:G4"/>
    <mergeCell ref="A5:C5"/>
    <mergeCell ref="D5:E5"/>
    <mergeCell ref="F5:G5"/>
    <mergeCell ref="A1:G1"/>
    <mergeCell ref="A2:C2"/>
    <mergeCell ref="D2:E2"/>
    <mergeCell ref="F2:G2"/>
    <mergeCell ref="A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9" sqref="C9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61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61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61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61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61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61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583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584</v>
      </c>
      <c r="H22" s="90" t="s">
        <v>583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60" t="s">
        <v>212</v>
      </c>
      <c r="C29" s="360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60" t="s">
        <v>211</v>
      </c>
      <c r="C30" s="360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4"/>
  <sheetViews>
    <sheetView workbookViewId="0">
      <selection activeCell="F14" sqref="F14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90" t="s">
        <v>571</v>
      </c>
      <c r="B1" s="291" t="s">
        <v>572</v>
      </c>
      <c r="F1" s="338" t="s">
        <v>573</v>
      </c>
      <c r="G1" s="339"/>
      <c r="H1" s="339"/>
      <c r="I1" s="339"/>
      <c r="J1" s="340"/>
    </row>
    <row r="2" spans="1:10" ht="15">
      <c r="A2" s="126" t="s">
        <v>574</v>
      </c>
      <c r="B2" s="292">
        <v>4200</v>
      </c>
      <c r="F2" s="119" t="s">
        <v>420</v>
      </c>
      <c r="G2" s="108" t="s">
        <v>290</v>
      </c>
      <c r="H2" s="108" t="s">
        <v>571</v>
      </c>
      <c r="I2" s="108" t="s">
        <v>26</v>
      </c>
      <c r="J2" s="221" t="s">
        <v>138</v>
      </c>
    </row>
    <row r="3" spans="1:10">
      <c r="A3" s="126" t="s">
        <v>575</v>
      </c>
      <c r="B3" s="292">
        <v>3000</v>
      </c>
      <c r="F3" s="126">
        <v>2027</v>
      </c>
      <c r="G3" s="91">
        <v>0.12</v>
      </c>
      <c r="H3" s="130">
        <f t="shared" ref="H3:H8" si="0">D7</f>
        <v>3648</v>
      </c>
      <c r="I3" s="130">
        <f t="shared" ref="I3:I8" si="1">D19</f>
        <v>456</v>
      </c>
      <c r="J3" s="131">
        <f t="shared" ref="J3:J8" si="2">H3+I3</f>
        <v>4104</v>
      </c>
    </row>
    <row r="4" spans="1:10" ht="15" thickBot="1">
      <c r="A4" s="128" t="s">
        <v>576</v>
      </c>
      <c r="B4" s="140">
        <v>0.2</v>
      </c>
      <c r="F4" s="126">
        <v>2028</v>
      </c>
      <c r="G4" s="91">
        <v>0.25</v>
      </c>
      <c r="H4" s="130">
        <f t="shared" si="0"/>
        <v>3960</v>
      </c>
      <c r="I4" s="130">
        <f t="shared" si="1"/>
        <v>625</v>
      </c>
      <c r="J4" s="131">
        <f t="shared" si="2"/>
        <v>4585</v>
      </c>
    </row>
    <row r="5" spans="1:10" ht="15" thickBot="1">
      <c r="F5" s="126">
        <v>2029</v>
      </c>
      <c r="G5" s="91">
        <v>0.4</v>
      </c>
      <c r="H5" s="130">
        <f t="shared" si="0"/>
        <v>4320</v>
      </c>
      <c r="I5" s="130">
        <f t="shared" si="1"/>
        <v>820</v>
      </c>
      <c r="J5" s="131">
        <f t="shared" si="2"/>
        <v>5140</v>
      </c>
    </row>
    <row r="6" spans="1:10" ht="15">
      <c r="A6" s="290" t="s">
        <v>290</v>
      </c>
      <c r="B6" s="293" t="s">
        <v>577</v>
      </c>
      <c r="C6" s="293" t="s">
        <v>578</v>
      </c>
      <c r="D6" s="291" t="s">
        <v>579</v>
      </c>
      <c r="F6" s="126">
        <v>2030</v>
      </c>
      <c r="G6" s="91">
        <v>0.5</v>
      </c>
      <c r="H6" s="130">
        <f t="shared" si="0"/>
        <v>4560</v>
      </c>
      <c r="I6" s="130">
        <f t="shared" si="1"/>
        <v>950</v>
      </c>
      <c r="J6" s="131">
        <f t="shared" si="2"/>
        <v>5510</v>
      </c>
    </row>
    <row r="7" spans="1:10">
      <c r="A7" s="294">
        <f>'[1]Cálcul. trabalhado'!H4</f>
        <v>0.12</v>
      </c>
      <c r="B7" s="295">
        <f>B2</f>
        <v>4200</v>
      </c>
      <c r="C7" s="295">
        <f>B3*A7</f>
        <v>360</v>
      </c>
      <c r="D7" s="296">
        <f>(B2+C7)*(1-B4)</f>
        <v>3648</v>
      </c>
      <c r="F7" s="126">
        <v>2031</v>
      </c>
      <c r="G7" s="91">
        <v>0.6</v>
      </c>
      <c r="H7" s="130">
        <f t="shared" si="0"/>
        <v>4800</v>
      </c>
      <c r="I7" s="130">
        <f t="shared" si="1"/>
        <v>1080</v>
      </c>
      <c r="J7" s="131">
        <f t="shared" si="2"/>
        <v>5880</v>
      </c>
    </row>
    <row r="8" spans="1:10" ht="15" thickBot="1">
      <c r="A8" s="294">
        <f>'[1]Cálcul. trabalhado'!H5</f>
        <v>0.25</v>
      </c>
      <c r="B8" s="295">
        <f>B2</f>
        <v>4200</v>
      </c>
      <c r="C8" s="295">
        <f>B3*A8</f>
        <v>750</v>
      </c>
      <c r="D8" s="296">
        <f>(B2+C8)*(1-B4)</f>
        <v>3960</v>
      </c>
      <c r="F8" s="128">
        <v>2032</v>
      </c>
      <c r="G8" s="105">
        <v>0.7</v>
      </c>
      <c r="H8" s="297">
        <f t="shared" si="0"/>
        <v>5040</v>
      </c>
      <c r="I8" s="297">
        <f t="shared" si="1"/>
        <v>1210</v>
      </c>
      <c r="J8" s="298">
        <f t="shared" si="2"/>
        <v>6250</v>
      </c>
    </row>
    <row r="9" spans="1:10">
      <c r="A9" s="294">
        <f>'[1]Cálcul. trabalhado'!H6</f>
        <v>0.4</v>
      </c>
      <c r="B9" s="295">
        <f>B2</f>
        <v>4200</v>
      </c>
      <c r="C9" s="295">
        <f>B3*A9</f>
        <v>1200</v>
      </c>
      <c r="D9" s="296">
        <f>(B2+C9)*(1-B4)</f>
        <v>4320</v>
      </c>
    </row>
    <row r="10" spans="1:10">
      <c r="A10" s="294">
        <f>'[1]Cálcul. trabalhado'!H7</f>
        <v>0.5</v>
      </c>
      <c r="B10" s="295">
        <f>B2</f>
        <v>4200</v>
      </c>
      <c r="C10" s="295">
        <f>B3*A10</f>
        <v>1500</v>
      </c>
      <c r="D10" s="296">
        <f>(B2+C10)*(1-B4)</f>
        <v>4560</v>
      </c>
    </row>
    <row r="11" spans="1:10">
      <c r="A11" s="294">
        <f>'[1]Cálcul. trabalhado'!H8</f>
        <v>0.6</v>
      </c>
      <c r="B11" s="295">
        <f>B2</f>
        <v>4200</v>
      </c>
      <c r="C11" s="295">
        <f>B3*A11</f>
        <v>1800</v>
      </c>
      <c r="D11" s="296">
        <f>(B2+C11)*(1-B4)</f>
        <v>4800</v>
      </c>
    </row>
    <row r="12" spans="1:10" ht="15" thickBot="1">
      <c r="A12" s="299">
        <f>'[1]Cálcul. trabalhado'!H9</f>
        <v>0.7</v>
      </c>
      <c r="B12" s="300">
        <f>B2</f>
        <v>4200</v>
      </c>
      <c r="C12" s="300">
        <f>B3*A12</f>
        <v>2100</v>
      </c>
      <c r="D12" s="301">
        <f>(B2+C12)*(1-B4)</f>
        <v>5040</v>
      </c>
    </row>
    <row r="13" spans="1:10" ht="15" thickBot="1"/>
    <row r="14" spans="1:10" ht="15">
      <c r="A14" s="302" t="s">
        <v>26</v>
      </c>
      <c r="B14" s="303" t="s">
        <v>572</v>
      </c>
    </row>
    <row r="15" spans="1:10">
      <c r="A15" s="126" t="s">
        <v>580</v>
      </c>
      <c r="B15" s="127">
        <v>300</v>
      </c>
    </row>
    <row r="16" spans="1:10" ht="15" thickBot="1">
      <c r="A16" s="128" t="s">
        <v>575</v>
      </c>
      <c r="B16" s="129">
        <v>1300</v>
      </c>
    </row>
    <row r="17" spans="1:4" ht="15" thickBot="1"/>
    <row r="18" spans="1:4" ht="15">
      <c r="A18" s="302" t="s">
        <v>290</v>
      </c>
      <c r="B18" s="304" t="s">
        <v>577</v>
      </c>
      <c r="C18" s="304" t="s">
        <v>578</v>
      </c>
      <c r="D18" s="303" t="s">
        <v>581</v>
      </c>
    </row>
    <row r="19" spans="1:4">
      <c r="A19" s="305">
        <f>'[1]Cálcul. trabalhado'!H4</f>
        <v>0.12</v>
      </c>
      <c r="B19" s="86">
        <f>B15</f>
        <v>300</v>
      </c>
      <c r="C19" s="86">
        <f>B16*A19</f>
        <v>156</v>
      </c>
      <c r="D19" s="127">
        <f>B15+C19</f>
        <v>456</v>
      </c>
    </row>
    <row r="20" spans="1:4">
      <c r="A20" s="305">
        <f>'[1]Cálcul. trabalhado'!H5</f>
        <v>0.25</v>
      </c>
      <c r="B20" s="86">
        <f>B15</f>
        <v>300</v>
      </c>
      <c r="C20" s="86">
        <f>B16*A20</f>
        <v>325</v>
      </c>
      <c r="D20" s="127">
        <f>B15+C20</f>
        <v>625</v>
      </c>
    </row>
    <row r="21" spans="1:4">
      <c r="A21" s="305">
        <f>'[1]Cálcul. trabalhado'!H6</f>
        <v>0.4</v>
      </c>
      <c r="B21" s="86">
        <f>B15</f>
        <v>300</v>
      </c>
      <c r="C21" s="86">
        <f>B16*A21</f>
        <v>520</v>
      </c>
      <c r="D21" s="127">
        <f>B15+C21</f>
        <v>820</v>
      </c>
    </row>
    <row r="22" spans="1:4">
      <c r="A22" s="305">
        <f>'[1]Cálcul. trabalhado'!H7</f>
        <v>0.5</v>
      </c>
      <c r="B22" s="86">
        <f>B15</f>
        <v>300</v>
      </c>
      <c r="C22" s="86">
        <f>B16*A22</f>
        <v>650</v>
      </c>
      <c r="D22" s="127">
        <f>B15+C22</f>
        <v>950</v>
      </c>
    </row>
    <row r="23" spans="1:4">
      <c r="A23" s="305">
        <f>'[1]Cálcul. trabalhado'!H8</f>
        <v>0.6</v>
      </c>
      <c r="B23" s="86">
        <f>B15</f>
        <v>300</v>
      </c>
      <c r="C23" s="86">
        <f>B16*A23</f>
        <v>780</v>
      </c>
      <c r="D23" s="127">
        <f>B15+C23</f>
        <v>1080</v>
      </c>
    </row>
    <row r="24" spans="1:4" ht="15" thickBot="1">
      <c r="A24" s="306">
        <f>'[1]Cálcul. trabalhado'!H9</f>
        <v>0.7</v>
      </c>
      <c r="B24" s="95">
        <f>B15</f>
        <v>300</v>
      </c>
      <c r="C24" s="95">
        <f>B16*A24</f>
        <v>909.99999999999989</v>
      </c>
      <c r="D24" s="129">
        <f>B15+C24</f>
        <v>1210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opLeftCell="C1" workbookViewId="0">
      <selection activeCell="G10" sqref="G10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 t="e">
        <f>#REF!</f>
        <v>#REF!</v>
      </c>
      <c r="C1" s="364" t="e">
        <f>_xlfn.DAYS(B2,B1)</f>
        <v>#REF!</v>
      </c>
      <c r="D1" s="238"/>
      <c r="E1" s="365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42" t="s">
        <v>514</v>
      </c>
      <c r="N1" s="342"/>
      <c r="O1" s="342"/>
      <c r="P1" s="342"/>
      <c r="S1" s="342" t="s">
        <v>528</v>
      </c>
      <c r="T1" s="342"/>
      <c r="U1" s="342"/>
      <c r="V1" s="342"/>
    </row>
    <row r="2" spans="1:28" ht="15">
      <c r="A2" s="239"/>
      <c r="B2" s="29">
        <v>46387</v>
      </c>
      <c r="C2" s="365"/>
      <c r="D2" s="240"/>
      <c r="E2" s="365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42" t="s">
        <v>519</v>
      </c>
      <c r="V2" s="342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/>
      <c r="H3" s="211">
        <v>0.03</v>
      </c>
      <c r="I3" s="223">
        <f>((B13+D13)*H3)</f>
        <v>4907.625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42" t="s">
        <v>529</v>
      </c>
      <c r="V3" s="342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2031</v>
      </c>
      <c r="H4" s="34">
        <v>0.12</v>
      </c>
      <c r="I4" s="223">
        <f>((B26+D26)*H4)</f>
        <v>26432.749999999996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42" t="s">
        <v>127</v>
      </c>
      <c r="V4" s="342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2032</v>
      </c>
      <c r="H5" s="211">
        <v>0.25</v>
      </c>
      <c r="I5" s="223">
        <f>(B40+D40)*H5</f>
        <v>55271.874999999993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42" t="s">
        <v>530</v>
      </c>
      <c r="V5" s="342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2033</v>
      </c>
      <c r="H6" s="211">
        <v>0.4</v>
      </c>
      <c r="I6" s="223">
        <f>(B40+D40)*H6</f>
        <v>88435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2034</v>
      </c>
      <c r="H7" s="211">
        <v>0.5</v>
      </c>
      <c r="I7" s="223">
        <f>(B40+D40)*H7</f>
        <v>110543.74999999999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2035</v>
      </c>
      <c r="H8" s="211">
        <v>0.6</v>
      </c>
      <c r="I8" s="223">
        <f>(B40+D40)*H8</f>
        <v>132652.49999999997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2036</v>
      </c>
      <c r="H9" s="214">
        <v>0.7</v>
      </c>
      <c r="I9" s="224">
        <f>(B40+D40)*H9</f>
        <v>154761.24999999997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6" si="0">G11*I3</f>
        <v>171.76687500000003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925.14625000000001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1934.515625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3095.2250000000004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585</v>
      </c>
      <c r="G15" s="46">
        <v>3.5000000000000003E-2</v>
      </c>
      <c r="I15" s="232">
        <f t="shared" si="0"/>
        <v>3869.03125</v>
      </c>
      <c r="M15" s="174" t="s">
        <v>121</v>
      </c>
      <c r="N15" s="174">
        <v>46746</v>
      </c>
      <c r="O15" s="85" t="s">
        <v>127</v>
      </c>
      <c r="P15" s="86"/>
      <c r="S15" s="338" t="s">
        <v>541</v>
      </c>
      <c r="T15" s="339"/>
      <c r="U15" s="339"/>
      <c r="V15" s="339"/>
      <c r="W15" s="339"/>
      <c r="X15" s="339"/>
      <c r="Y15" s="340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586</v>
      </c>
      <c r="G16" s="46">
        <v>3.5000000000000003E-2</v>
      </c>
      <c r="I16" s="232">
        <f t="shared" si="0"/>
        <v>4642.8374999999996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308" t="s">
        <v>587</v>
      </c>
      <c r="G17" s="233">
        <v>3.5000000000000003E-2</v>
      </c>
      <c r="H17" s="215"/>
      <c r="I17" s="234">
        <f>G17*I9</f>
        <v>5416.6437499999993</v>
      </c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62" t="s">
        <v>228</v>
      </c>
      <c r="G18" s="362"/>
      <c r="H18" s="362"/>
      <c r="I18" s="362"/>
      <c r="J18" s="363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66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66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66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66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S15:Y15"/>
    <mergeCell ref="S1:V1"/>
    <mergeCell ref="U2:V2"/>
    <mergeCell ref="U3:V3"/>
    <mergeCell ref="U4:V4"/>
    <mergeCell ref="U5:V5"/>
    <mergeCell ref="F18:J18"/>
    <mergeCell ref="C1:C2"/>
    <mergeCell ref="E1:E2"/>
    <mergeCell ref="M1:P1"/>
    <mergeCell ref="K20:K23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A10" zoomScale="80" zoomScaleNormal="80" workbookViewId="0">
      <selection activeCell="H16" sqref="H16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367" t="s">
        <v>413</v>
      </c>
      <c r="B1" s="368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41" t="s">
        <v>441</v>
      </c>
      <c r="B2" s="342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41" t="s">
        <v>432</v>
      </c>
      <c r="B3" s="342"/>
      <c r="C3" s="127">
        <v>8</v>
      </c>
    </row>
    <row r="4" spans="1:10" ht="14.25" customHeight="1">
      <c r="A4" s="341"/>
      <c r="B4" s="342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41" t="s">
        <v>414</v>
      </c>
      <c r="B5" s="342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41" t="s">
        <v>447</v>
      </c>
      <c r="B6" s="342"/>
      <c r="C6" s="127">
        <f>E5+F5</f>
        <v>11</v>
      </c>
    </row>
    <row r="7" spans="1:10" ht="15">
      <c r="A7" s="341" t="s">
        <v>437</v>
      </c>
      <c r="B7" s="342"/>
      <c r="C7" s="127">
        <f>C3*C5</f>
        <v>680</v>
      </c>
      <c r="E7" s="369" t="s">
        <v>442</v>
      </c>
      <c r="F7" s="369"/>
      <c r="G7" s="369"/>
      <c r="H7" s="108" t="s">
        <v>443</v>
      </c>
    </row>
    <row r="8" spans="1:10">
      <c r="A8" s="341" t="s">
        <v>438</v>
      </c>
      <c r="B8" s="342"/>
      <c r="C8" s="127">
        <f>C6*C3</f>
        <v>88</v>
      </c>
      <c r="E8" s="342">
        <f>('Cálcul. para definição benefic'!D31+'Cálcul. para definição benefic'!C31)/2</f>
        <v>4.085</v>
      </c>
      <c r="F8" s="342"/>
      <c r="G8" s="342"/>
      <c r="H8" s="86">
        <f>ROUNDDOWN(E8,1)</f>
        <v>4</v>
      </c>
    </row>
    <row r="9" spans="1:10">
      <c r="A9" s="341" t="s">
        <v>439</v>
      </c>
      <c r="B9" s="342"/>
      <c r="C9" s="127">
        <f>C7+C8</f>
        <v>768</v>
      </c>
    </row>
    <row r="10" spans="1:10">
      <c r="A10" s="341" t="s">
        <v>440</v>
      </c>
      <c r="B10" s="342"/>
      <c r="C10" s="127">
        <f>C9/C2</f>
        <v>192</v>
      </c>
    </row>
    <row r="11" spans="1:10">
      <c r="A11" s="341" t="s">
        <v>431</v>
      </c>
      <c r="B11" s="342"/>
      <c r="C11" s="127">
        <f>C10*4</f>
        <v>768</v>
      </c>
    </row>
    <row r="12" spans="1:10">
      <c r="A12" s="341" t="s">
        <v>428</v>
      </c>
      <c r="B12" s="342"/>
      <c r="C12" s="127">
        <v>0.8</v>
      </c>
    </row>
    <row r="13" spans="1:10" ht="15" thickBot="1">
      <c r="A13" s="341" t="s">
        <v>429</v>
      </c>
      <c r="B13" s="342"/>
      <c r="C13" s="127">
        <v>3</v>
      </c>
    </row>
    <row r="14" spans="1:10" ht="15" thickBot="1">
      <c r="A14" s="341" t="s">
        <v>448</v>
      </c>
      <c r="B14" s="342"/>
      <c r="C14" s="127">
        <v>0.05</v>
      </c>
      <c r="D14" s="370"/>
      <c r="E14" s="371"/>
      <c r="F14" s="372"/>
    </row>
    <row r="15" spans="1:10">
      <c r="A15" s="341" t="s">
        <v>415</v>
      </c>
      <c r="B15" s="342"/>
      <c r="C15" s="127">
        <v>20</v>
      </c>
    </row>
    <row r="16" spans="1:10" ht="15" thickBot="1">
      <c r="A16" s="373" t="s">
        <v>430</v>
      </c>
      <c r="B16" s="374"/>
      <c r="C16" s="140">
        <v>0.25</v>
      </c>
    </row>
    <row r="19" spans="1:11" ht="15" thickBot="1"/>
    <row r="20" spans="1:11" ht="15.75" thickBot="1">
      <c r="A20" s="351" t="s">
        <v>417</v>
      </c>
      <c r="B20" s="352"/>
      <c r="C20" s="139"/>
    </row>
    <row r="21" spans="1:11">
      <c r="A21" s="376"/>
      <c r="B21" s="377"/>
      <c r="C21" s="138"/>
    </row>
    <row r="22" spans="1:11">
      <c r="A22" s="341" t="s">
        <v>444</v>
      </c>
      <c r="B22" s="342"/>
      <c r="C22" s="127">
        <f>C11</f>
        <v>768</v>
      </c>
    </row>
    <row r="23" spans="1:11">
      <c r="A23" s="341" t="s">
        <v>445</v>
      </c>
      <c r="B23" s="342"/>
      <c r="C23" s="127">
        <f>C21+C22</f>
        <v>768</v>
      </c>
    </row>
    <row r="24" spans="1:11">
      <c r="A24" s="341" t="s">
        <v>418</v>
      </c>
      <c r="B24" s="342"/>
      <c r="C24" s="127">
        <f>C12</f>
        <v>0.8</v>
      </c>
    </row>
    <row r="25" spans="1:11" ht="15" thickBot="1">
      <c r="A25" s="373" t="s">
        <v>419</v>
      </c>
      <c r="B25" s="374"/>
      <c r="C25" s="129">
        <f>C13</f>
        <v>3</v>
      </c>
    </row>
    <row r="26" spans="1:11" ht="15" thickBot="1">
      <c r="A26" s="375"/>
      <c r="B26" s="375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0</v>
      </c>
      <c r="B28" s="132">
        <f>'Cálcul. trabalhado'!H3</f>
        <v>0.03</v>
      </c>
      <c r="C28" s="133"/>
      <c r="D28" s="133">
        <f>CEILING(C11*B28*C16,1)</f>
        <v>6</v>
      </c>
      <c r="E28" s="133">
        <f>D28</f>
        <v>6</v>
      </c>
      <c r="F28" s="134">
        <f>E28*C24</f>
        <v>4.8000000000000007</v>
      </c>
      <c r="G28" s="134">
        <f>E28*C25</f>
        <v>18</v>
      </c>
      <c r="H28" s="133">
        <f>CEILING(E28*C14,1)</f>
        <v>1</v>
      </c>
      <c r="I28" s="134">
        <f>H28*C15</f>
        <v>20</v>
      </c>
      <c r="J28" s="134">
        <f>F28+G28+I28</f>
        <v>42.8</v>
      </c>
      <c r="K28" s="135">
        <f>J28*12</f>
        <v>513.59999999999991</v>
      </c>
    </row>
    <row r="29" spans="1:11">
      <c r="A29" s="126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30">
        <f>E29*C12</f>
        <v>19.200000000000003</v>
      </c>
      <c r="G29" s="130">
        <f>E29*C25</f>
        <v>72</v>
      </c>
      <c r="H29" s="86">
        <f>CEILING(E29*C14,1)</f>
        <v>2</v>
      </c>
      <c r="I29" s="130">
        <f>H29*C15</f>
        <v>40</v>
      </c>
      <c r="J29" s="130">
        <f t="shared" ref="J29:J32" si="1">F29+G29+I29</f>
        <v>131.19999999999999</v>
      </c>
      <c r="K29" s="131">
        <f t="shared" ref="K29:K34" si="2">J29*12</f>
        <v>1574.3999999999999</v>
      </c>
    </row>
    <row r="30" spans="1:11">
      <c r="A30" s="126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30">
        <f>E30*C12</f>
        <v>38.400000000000006</v>
      </c>
      <c r="G30" s="130">
        <f>E30*C25</f>
        <v>144</v>
      </c>
      <c r="H30" s="86">
        <f>CEILING(E30*C14,1)</f>
        <v>3</v>
      </c>
      <c r="I30" s="130">
        <f>H30*C15</f>
        <v>60</v>
      </c>
      <c r="J30" s="130">
        <f t="shared" si="1"/>
        <v>242.4</v>
      </c>
      <c r="K30" s="131">
        <f t="shared" si="2"/>
        <v>2908.8</v>
      </c>
    </row>
    <row r="31" spans="1:11">
      <c r="A31" s="126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30">
        <f>E31*C12</f>
        <v>61.6</v>
      </c>
      <c r="G31" s="130">
        <f>E31*C25</f>
        <v>231</v>
      </c>
      <c r="H31" s="86">
        <f>CEILING(E31*C14,1)</f>
        <v>4</v>
      </c>
      <c r="I31" s="130">
        <f>H31*C15</f>
        <v>80</v>
      </c>
      <c r="J31" s="130">
        <f t="shared" si="1"/>
        <v>372.6</v>
      </c>
      <c r="K31" s="131">
        <f t="shared" si="2"/>
        <v>4471.2000000000007</v>
      </c>
    </row>
    <row r="32" spans="1:11">
      <c r="A32" s="126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30">
        <f>E32*C12</f>
        <v>76.800000000000011</v>
      </c>
      <c r="G32" s="130">
        <f>E32*C25</f>
        <v>288</v>
      </c>
      <c r="H32" s="86">
        <f>CEILING(E32*C14,1)</f>
        <v>5</v>
      </c>
      <c r="I32" s="130">
        <f>H32*C15</f>
        <v>100</v>
      </c>
      <c r="J32" s="130">
        <f t="shared" si="1"/>
        <v>464.8</v>
      </c>
      <c r="K32" s="131">
        <f t="shared" si="2"/>
        <v>5577.6</v>
      </c>
    </row>
    <row r="33" spans="1:11">
      <c r="A33" s="266">
        <v>5</v>
      </c>
      <c r="B33" s="267">
        <f>'Cálcul. trabalhado'!H8</f>
        <v>0.6</v>
      </c>
      <c r="C33" s="268"/>
      <c r="D33" s="268">
        <f>CEILING(C11*B33*C16,1)</f>
        <v>116</v>
      </c>
      <c r="E33" s="268">
        <f>D33</f>
        <v>116</v>
      </c>
      <c r="F33" s="269">
        <f>E33*C12</f>
        <v>92.800000000000011</v>
      </c>
      <c r="G33" s="269">
        <f>E33*C25</f>
        <v>348</v>
      </c>
      <c r="H33" s="268">
        <f>CEILING(E33*C14,1)</f>
        <v>6</v>
      </c>
      <c r="I33" s="269">
        <f>H33*C15</f>
        <v>120</v>
      </c>
      <c r="J33" s="269">
        <f>F33+G33+I33</f>
        <v>560.79999999999995</v>
      </c>
      <c r="K33" s="270">
        <f t="shared" si="2"/>
        <v>6729.5999999999995</v>
      </c>
    </row>
    <row r="34" spans="1:11">
      <c r="A34" s="86">
        <v>6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30">
        <f>E34*C12</f>
        <v>108</v>
      </c>
      <c r="G34" s="130">
        <f>E34*C25</f>
        <v>405</v>
      </c>
      <c r="H34" s="86">
        <f>CEILING(E34*C14,1)</f>
        <v>7</v>
      </c>
      <c r="I34" s="130">
        <f>H34*C15</f>
        <v>140</v>
      </c>
      <c r="J34" s="271">
        <f>F34+G34+I34</f>
        <v>653</v>
      </c>
      <c r="K34" s="272">
        <f t="shared" si="2"/>
        <v>7836</v>
      </c>
    </row>
  </sheetData>
  <mergeCells count="26"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  <mergeCell ref="A11:B11"/>
    <mergeCell ref="A12:B12"/>
    <mergeCell ref="A13:B13"/>
    <mergeCell ref="A14:B14"/>
    <mergeCell ref="D14:F14"/>
    <mergeCell ref="A8:B8"/>
    <mergeCell ref="A7:B7"/>
    <mergeCell ref="A9:B9"/>
    <mergeCell ref="A10:B10"/>
    <mergeCell ref="E8:G8"/>
    <mergeCell ref="E7:G7"/>
    <mergeCell ref="A1:B1"/>
    <mergeCell ref="A3:B3"/>
    <mergeCell ref="A2:B2"/>
    <mergeCell ref="A6:B6"/>
    <mergeCell ref="A4:B4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workbookViewId="0">
      <selection activeCell="D11" sqref="D1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2029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>
        <v>1</v>
      </c>
      <c r="D10" s="70"/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2030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>
        <v>1</v>
      </c>
      <c r="D20" s="70"/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2031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>
        <v>1</v>
      </c>
      <c r="D30" s="70"/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2032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>
        <v>1</v>
      </c>
      <c r="D40" s="70"/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2033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>
        <v>1</v>
      </c>
      <c r="D50" s="70"/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2034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>
        <v>0</v>
      </c>
      <c r="D60" s="70"/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topLeftCell="E17" zoomScale="80" zoomScaleNormal="80" workbookViewId="0">
      <selection activeCell="W39" sqref="W39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26"/>
      <c r="B1" s="426"/>
      <c r="C1" s="426"/>
      <c r="D1" s="426"/>
      <c r="E1" s="426"/>
      <c r="F1" s="426"/>
    </row>
    <row r="2" spans="1:21" ht="15">
      <c r="A2" s="427" t="s">
        <v>31</v>
      </c>
      <c r="B2" s="428"/>
      <c r="C2" s="428"/>
      <c r="D2" s="438" t="s">
        <v>412</v>
      </c>
      <c r="E2" s="438"/>
      <c r="F2" s="439"/>
      <c r="G2" s="432" t="s">
        <v>250</v>
      </c>
      <c r="H2" s="433"/>
      <c r="I2" s="434"/>
      <c r="J2" s="435" t="s">
        <v>251</v>
      </c>
      <c r="K2" s="436"/>
      <c r="L2" s="437"/>
      <c r="M2" s="429" t="s">
        <v>282</v>
      </c>
      <c r="N2" s="430"/>
      <c r="O2" s="431"/>
      <c r="P2" s="417" t="s">
        <v>388</v>
      </c>
      <c r="Q2" s="418"/>
      <c r="R2" s="482" t="s">
        <v>464</v>
      </c>
      <c r="S2" s="482"/>
      <c r="T2" s="335" t="s">
        <v>610</v>
      </c>
      <c r="U2" s="159"/>
    </row>
    <row r="3" spans="1:21">
      <c r="A3" s="378" t="s">
        <v>243</v>
      </c>
      <c r="B3" s="378"/>
      <c r="C3" s="379"/>
      <c r="D3" s="391">
        <v>42432</v>
      </c>
      <c r="E3" s="392"/>
      <c r="F3" s="393"/>
      <c r="G3" s="443">
        <v>28935.65</v>
      </c>
      <c r="H3" s="444"/>
      <c r="I3" s="445"/>
      <c r="J3" s="386">
        <v>21140.880000000001</v>
      </c>
      <c r="K3" s="387"/>
      <c r="L3" s="388"/>
      <c r="M3" s="391">
        <v>20990</v>
      </c>
      <c r="N3" s="392"/>
      <c r="O3" s="393"/>
      <c r="P3" s="392">
        <v>32204.57</v>
      </c>
      <c r="Q3" s="393"/>
      <c r="R3" s="394"/>
      <c r="S3" s="396"/>
    </row>
    <row r="4" spans="1:21" ht="15">
      <c r="A4" s="389" t="s">
        <v>244</v>
      </c>
      <c r="B4" s="389"/>
      <c r="C4" s="390"/>
      <c r="D4" s="380">
        <v>62220</v>
      </c>
      <c r="E4" s="381"/>
      <c r="F4" s="382"/>
      <c r="G4" s="401">
        <v>39372.230000000003</v>
      </c>
      <c r="H4" s="446"/>
      <c r="I4" s="400"/>
      <c r="J4" s="380">
        <v>27667.75</v>
      </c>
      <c r="K4" s="381"/>
      <c r="L4" s="382"/>
      <c r="M4" s="380">
        <v>39590</v>
      </c>
      <c r="N4" s="381"/>
      <c r="O4" s="382"/>
      <c r="P4" s="381">
        <v>32089.09</v>
      </c>
      <c r="Q4" s="382"/>
      <c r="R4" s="483"/>
      <c r="S4" s="484"/>
      <c r="T4" s="410"/>
      <c r="U4" s="411"/>
    </row>
    <row r="5" spans="1:21">
      <c r="A5" s="378" t="s">
        <v>245</v>
      </c>
      <c r="B5" s="378"/>
      <c r="C5" s="379"/>
      <c r="D5" s="391">
        <v>51408</v>
      </c>
      <c r="E5" s="392"/>
      <c r="F5" s="393"/>
      <c r="G5" s="447">
        <v>40914.589999999997</v>
      </c>
      <c r="H5" s="448"/>
      <c r="I5" s="449"/>
      <c r="J5" s="440">
        <v>43770.559999999998</v>
      </c>
      <c r="K5" s="441"/>
      <c r="L5" s="442"/>
      <c r="M5" s="391">
        <v>24290</v>
      </c>
      <c r="N5" s="392"/>
      <c r="O5" s="393"/>
      <c r="P5" s="392">
        <v>28735.17</v>
      </c>
      <c r="Q5" s="393"/>
      <c r="R5" s="394"/>
      <c r="S5" s="396"/>
    </row>
    <row r="6" spans="1:21">
      <c r="A6" s="389" t="s">
        <v>246</v>
      </c>
      <c r="B6" s="389"/>
      <c r="C6" s="390"/>
      <c r="D6" s="380">
        <v>51408</v>
      </c>
      <c r="E6" s="381"/>
      <c r="F6" s="382"/>
      <c r="G6" s="401">
        <v>33959.199999999997</v>
      </c>
      <c r="H6" s="399"/>
      <c r="I6" s="400"/>
      <c r="J6" s="380">
        <v>21885.279999999999</v>
      </c>
      <c r="K6" s="381"/>
      <c r="L6" s="382"/>
      <c r="M6" s="380">
        <v>22990</v>
      </c>
      <c r="N6" s="381"/>
      <c r="O6" s="382"/>
      <c r="P6" s="381">
        <v>28456.37</v>
      </c>
      <c r="Q6" s="382"/>
      <c r="R6" s="401"/>
      <c r="S6" s="400"/>
    </row>
    <row r="7" spans="1:21">
      <c r="A7" s="378" t="s">
        <v>247</v>
      </c>
      <c r="B7" s="378"/>
      <c r="C7" s="379"/>
      <c r="D7" s="391">
        <v>82436.399999999994</v>
      </c>
      <c r="E7" s="392"/>
      <c r="F7" s="393"/>
      <c r="G7" s="394">
        <v>50432.41</v>
      </c>
      <c r="H7" s="395"/>
      <c r="I7" s="396"/>
      <c r="J7" s="391">
        <v>26731.3</v>
      </c>
      <c r="K7" s="392"/>
      <c r="L7" s="393"/>
      <c r="M7" s="391">
        <v>33190</v>
      </c>
      <c r="N7" s="392"/>
      <c r="O7" s="393"/>
      <c r="P7" s="391">
        <v>30769.95</v>
      </c>
      <c r="Q7" s="393"/>
      <c r="R7" s="394"/>
      <c r="S7" s="396"/>
    </row>
    <row r="8" spans="1:21">
      <c r="A8" s="378" t="s">
        <v>609</v>
      </c>
      <c r="B8" s="378"/>
      <c r="C8" s="379"/>
      <c r="D8" s="394"/>
      <c r="E8" s="395"/>
      <c r="F8" s="396"/>
      <c r="G8" s="394"/>
      <c r="H8" s="395"/>
      <c r="I8" s="396"/>
      <c r="J8" s="394"/>
      <c r="K8" s="395"/>
      <c r="L8" s="396"/>
      <c r="M8" s="394"/>
      <c r="N8" s="395"/>
      <c r="O8" s="396"/>
      <c r="P8" s="394"/>
      <c r="Q8" s="396"/>
      <c r="R8" s="394"/>
      <c r="S8" s="396"/>
      <c r="T8" s="334">
        <v>4000</v>
      </c>
    </row>
    <row r="9" spans="1:21">
      <c r="A9" s="389" t="s">
        <v>248</v>
      </c>
      <c r="B9" s="389"/>
      <c r="C9" s="390"/>
      <c r="D9" s="380">
        <v>67524</v>
      </c>
      <c r="E9" s="381"/>
      <c r="F9" s="382"/>
      <c r="G9" s="401">
        <v>88208.26</v>
      </c>
      <c r="H9" s="399"/>
      <c r="I9" s="400"/>
      <c r="J9" s="380">
        <v>21885.279999999999</v>
      </c>
      <c r="K9" s="381"/>
      <c r="L9" s="382"/>
      <c r="M9" s="380">
        <v>19590</v>
      </c>
      <c r="N9" s="381"/>
      <c r="O9" s="382"/>
      <c r="P9" s="381">
        <v>29015.01</v>
      </c>
      <c r="Q9" s="382"/>
      <c r="R9" s="401"/>
      <c r="S9" s="400"/>
    </row>
    <row r="10" spans="1:21">
      <c r="A10" s="378" t="s">
        <v>249</v>
      </c>
      <c r="B10" s="378"/>
      <c r="C10" s="379"/>
      <c r="D10" s="391">
        <v>35496</v>
      </c>
      <c r="E10" s="392"/>
      <c r="F10" s="393"/>
      <c r="G10" s="394">
        <v>50802.400000000001</v>
      </c>
      <c r="H10" s="395"/>
      <c r="I10" s="396"/>
      <c r="J10" s="391">
        <v>13756.46</v>
      </c>
      <c r="K10" s="392"/>
      <c r="L10" s="393"/>
      <c r="M10" s="391" t="s">
        <v>283</v>
      </c>
      <c r="N10" s="392"/>
      <c r="O10" s="393"/>
      <c r="P10" s="392">
        <v>24447.05</v>
      </c>
      <c r="Q10" s="393"/>
      <c r="R10" s="394"/>
      <c r="S10" s="396"/>
    </row>
    <row r="11" spans="1:21">
      <c r="A11" s="389" t="s">
        <v>260</v>
      </c>
      <c r="B11" s="389"/>
      <c r="C11" s="390"/>
      <c r="D11" s="380">
        <v>18768</v>
      </c>
      <c r="E11" s="381"/>
      <c r="F11" s="382"/>
      <c r="G11" s="450">
        <v>32203.81</v>
      </c>
      <c r="H11" s="451"/>
      <c r="I11" s="452"/>
      <c r="J11" s="407">
        <v>7539</v>
      </c>
      <c r="K11" s="408"/>
      <c r="L11" s="409"/>
      <c r="M11" s="380">
        <v>11180</v>
      </c>
      <c r="N11" s="381"/>
      <c r="O11" s="382"/>
      <c r="P11" s="381">
        <v>18762.86</v>
      </c>
      <c r="Q11" s="382"/>
      <c r="R11" s="401"/>
      <c r="S11" s="400"/>
    </row>
    <row r="12" spans="1:21">
      <c r="A12" s="378" t="s">
        <v>261</v>
      </c>
      <c r="B12" s="378"/>
      <c r="C12" s="379"/>
      <c r="D12" s="391">
        <v>13056</v>
      </c>
      <c r="E12" s="392"/>
      <c r="F12" s="393"/>
      <c r="G12" s="394">
        <v>14010.44</v>
      </c>
      <c r="H12" s="395"/>
      <c r="I12" s="396"/>
      <c r="J12" s="391">
        <v>5134.5</v>
      </c>
      <c r="K12" s="392"/>
      <c r="L12" s="393"/>
      <c r="M12" s="391">
        <v>5990</v>
      </c>
      <c r="N12" s="392"/>
      <c r="O12" s="393"/>
      <c r="P12" s="392">
        <v>8144.51</v>
      </c>
      <c r="Q12" s="393"/>
      <c r="R12" s="394"/>
      <c r="S12" s="396"/>
    </row>
    <row r="13" spans="1:21">
      <c r="A13" s="389" t="s">
        <v>465</v>
      </c>
      <c r="B13" s="389"/>
      <c r="C13" s="390"/>
      <c r="D13" s="399"/>
      <c r="E13" s="399"/>
      <c r="F13" s="400"/>
      <c r="G13" s="401"/>
      <c r="H13" s="399"/>
      <c r="I13" s="400"/>
      <c r="J13" s="401"/>
      <c r="K13" s="399"/>
      <c r="L13" s="400"/>
      <c r="M13" s="401"/>
      <c r="N13" s="399"/>
      <c r="O13" s="400"/>
      <c r="P13" s="401"/>
      <c r="Q13" s="400"/>
      <c r="R13" s="401">
        <v>15370.35</v>
      </c>
      <c r="S13" s="400"/>
    </row>
    <row r="14" spans="1:21">
      <c r="A14" s="402" t="s">
        <v>462</v>
      </c>
      <c r="B14" s="403"/>
      <c r="C14" s="404"/>
      <c r="D14" s="395"/>
      <c r="E14" s="395"/>
      <c r="F14" s="396"/>
      <c r="G14" s="394">
        <v>95912.5</v>
      </c>
      <c r="H14" s="395"/>
      <c r="I14" s="396"/>
      <c r="J14" s="394"/>
      <c r="K14" s="395"/>
      <c r="L14" s="396"/>
      <c r="M14" s="394"/>
      <c r="N14" s="395"/>
      <c r="O14" s="396"/>
      <c r="P14" s="391">
        <v>51132.82</v>
      </c>
      <c r="Q14" s="393"/>
      <c r="R14" s="394">
        <v>49225.3</v>
      </c>
      <c r="S14" s="396"/>
    </row>
    <row r="15" spans="1:21">
      <c r="A15" s="405" t="s">
        <v>452</v>
      </c>
      <c r="B15" s="405"/>
      <c r="C15" s="406"/>
      <c r="D15" s="399"/>
      <c r="E15" s="399"/>
      <c r="F15" s="400"/>
      <c r="G15" s="401">
        <v>31179.23</v>
      </c>
      <c r="H15" s="399"/>
      <c r="I15" s="400"/>
      <c r="J15" s="401"/>
      <c r="K15" s="399"/>
      <c r="L15" s="400"/>
      <c r="M15" s="401"/>
      <c r="N15" s="399"/>
      <c r="O15" s="400"/>
      <c r="P15" s="380">
        <v>15853.13</v>
      </c>
      <c r="Q15" s="382"/>
      <c r="R15" s="401">
        <v>14566.67</v>
      </c>
      <c r="S15" s="400"/>
    </row>
    <row r="16" spans="1:21" ht="15">
      <c r="D16" s="397">
        <f>D3+D4+D5+D6+D7+D9+D10+D11+D12</f>
        <v>424748.4</v>
      </c>
      <c r="E16" s="397"/>
      <c r="F16" s="398"/>
      <c r="G16" s="472">
        <f>G3+G5+G6+G7+G9+G10+G11+G12+G4+G13+G14+G15</f>
        <v>505930.72</v>
      </c>
      <c r="H16" s="472"/>
      <c r="I16" s="473"/>
      <c r="J16" s="469">
        <f>J3+J4+J5+J6+J7+J9+J10+J11+J12</f>
        <v>189511.00999999998</v>
      </c>
      <c r="K16" s="470"/>
      <c r="L16" s="471"/>
      <c r="M16" s="420">
        <f>M3+M4+M5+M6+M7+M9+M11+M12</f>
        <v>177810</v>
      </c>
      <c r="N16" s="421"/>
      <c r="O16" s="422"/>
      <c r="P16" s="397">
        <f>P3+P4+P5+P6+P7+P9+P10+P11+P12+P14+T4+P15</f>
        <v>299610.53000000003</v>
      </c>
      <c r="Q16" s="398"/>
      <c r="R16" s="415">
        <f>R13+R14+R15</f>
        <v>79162.320000000007</v>
      </c>
      <c r="S16" s="416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27" t="s">
        <v>252</v>
      </c>
      <c r="B20" s="428"/>
      <c r="C20" s="428"/>
      <c r="D20" s="453" t="s">
        <v>257</v>
      </c>
      <c r="E20" s="453"/>
      <c r="F20" s="454"/>
      <c r="G20" s="455" t="s">
        <v>258</v>
      </c>
      <c r="H20" s="456"/>
      <c r="I20" s="457"/>
      <c r="J20" s="383" t="s">
        <v>259</v>
      </c>
      <c r="K20" s="384"/>
      <c r="L20" s="385"/>
      <c r="M20" s="424" t="s">
        <v>385</v>
      </c>
      <c r="N20" s="425"/>
      <c r="O20" s="417" t="s">
        <v>451</v>
      </c>
      <c r="P20" s="418"/>
      <c r="Q20" s="423"/>
    </row>
    <row r="21" spans="1:17">
      <c r="A21" s="378" t="s">
        <v>253</v>
      </c>
      <c r="B21" s="378"/>
      <c r="C21" s="379"/>
      <c r="D21" s="386">
        <v>7480</v>
      </c>
      <c r="E21" s="387"/>
      <c r="F21" s="388"/>
      <c r="G21" s="386">
        <v>8290</v>
      </c>
      <c r="H21" s="387"/>
      <c r="I21" s="388"/>
      <c r="J21" s="386">
        <v>5119</v>
      </c>
      <c r="K21" s="387"/>
      <c r="L21" s="388"/>
      <c r="M21" s="391">
        <v>9556.2199999999993</v>
      </c>
      <c r="N21" s="393"/>
      <c r="O21" s="412">
        <v>4508.04</v>
      </c>
      <c r="P21" s="413"/>
      <c r="Q21" s="414"/>
    </row>
    <row r="22" spans="1:17">
      <c r="A22" s="389" t="s">
        <v>254</v>
      </c>
      <c r="B22" s="389"/>
      <c r="C22" s="390"/>
      <c r="D22" s="381">
        <v>36956</v>
      </c>
      <c r="E22" s="381"/>
      <c r="F22" s="382"/>
      <c r="G22" s="380">
        <v>39360</v>
      </c>
      <c r="H22" s="381"/>
      <c r="I22" s="382"/>
      <c r="J22" s="380">
        <v>25661</v>
      </c>
      <c r="K22" s="381"/>
      <c r="L22" s="382"/>
      <c r="M22" s="380">
        <v>44492.56</v>
      </c>
      <c r="N22" s="382"/>
      <c r="O22" s="380">
        <v>27504.28</v>
      </c>
      <c r="P22" s="381"/>
      <c r="Q22" s="382"/>
    </row>
    <row r="23" spans="1:17">
      <c r="A23" s="378" t="s">
        <v>255</v>
      </c>
      <c r="B23" s="378"/>
      <c r="C23" s="379"/>
      <c r="D23" s="441">
        <v>16640</v>
      </c>
      <c r="E23" s="441"/>
      <c r="F23" s="442"/>
      <c r="G23" s="440">
        <v>31500</v>
      </c>
      <c r="H23" s="441"/>
      <c r="I23" s="442"/>
      <c r="J23" s="440">
        <v>20922</v>
      </c>
      <c r="K23" s="441"/>
      <c r="L23" s="442"/>
      <c r="M23" s="391">
        <v>27131.19</v>
      </c>
      <c r="N23" s="393"/>
      <c r="O23" s="412">
        <v>23488.34</v>
      </c>
      <c r="P23" s="413"/>
      <c r="Q23" s="414"/>
    </row>
    <row r="24" spans="1:17">
      <c r="A24" s="389" t="s">
        <v>256</v>
      </c>
      <c r="B24" s="389"/>
      <c r="C24" s="390"/>
      <c r="D24" s="381">
        <v>6090</v>
      </c>
      <c r="E24" s="381"/>
      <c r="F24" s="382"/>
      <c r="G24" s="380">
        <v>9750</v>
      </c>
      <c r="H24" s="381"/>
      <c r="I24" s="382"/>
      <c r="J24" s="380">
        <v>6890</v>
      </c>
      <c r="K24" s="381"/>
      <c r="L24" s="382"/>
      <c r="M24" s="380">
        <v>8570.2099999999991</v>
      </c>
      <c r="N24" s="382"/>
      <c r="O24" s="380">
        <v>4497.92</v>
      </c>
      <c r="P24" s="381"/>
      <c r="Q24" s="382"/>
    </row>
    <row r="25" spans="1:17">
      <c r="A25" s="378" t="s">
        <v>393</v>
      </c>
      <c r="B25" s="480"/>
      <c r="C25" s="481"/>
      <c r="D25" s="391">
        <v>0</v>
      </c>
      <c r="E25" s="392"/>
      <c r="F25" s="393"/>
      <c r="G25" s="391">
        <v>0</v>
      </c>
      <c r="H25" s="392"/>
      <c r="I25" s="393"/>
      <c r="J25" s="392">
        <v>2459.6</v>
      </c>
      <c r="K25" s="392"/>
      <c r="L25" s="393"/>
      <c r="M25" s="391">
        <v>0</v>
      </c>
      <c r="N25" s="393"/>
      <c r="O25" s="391"/>
      <c r="P25" s="392"/>
      <c r="Q25" s="393"/>
    </row>
    <row r="26" spans="1:17" ht="15">
      <c r="A26" s="77"/>
      <c r="B26" s="77"/>
      <c r="C26" s="77"/>
      <c r="D26" s="421">
        <f>D21+D22+D23+D24</f>
        <v>67166</v>
      </c>
      <c r="E26" s="421"/>
      <c r="F26" s="422"/>
      <c r="G26" s="420">
        <f>G21+G22+G23+G24</f>
        <v>88900</v>
      </c>
      <c r="H26" s="421"/>
      <c r="I26" s="422"/>
      <c r="J26" s="420">
        <f>J21+J22+J23+J24+J25</f>
        <v>61051.6</v>
      </c>
      <c r="K26" s="421"/>
      <c r="L26" s="422"/>
      <c r="M26" s="419">
        <f>M21+M22+M23+M24</f>
        <v>89750.18</v>
      </c>
      <c r="N26" s="398"/>
      <c r="O26" s="419">
        <f>O21+O22+O23+O24+O25</f>
        <v>59998.58</v>
      </c>
      <c r="P26" s="397"/>
      <c r="Q26" s="398"/>
    </row>
    <row r="28" spans="1:17" ht="15">
      <c r="A28" s="427" t="s">
        <v>262</v>
      </c>
      <c r="B28" s="428"/>
      <c r="C28" s="428"/>
      <c r="D28" s="478" t="s">
        <v>280</v>
      </c>
      <c r="E28" s="478"/>
      <c r="F28" s="479"/>
      <c r="G28" s="474" t="s">
        <v>385</v>
      </c>
      <c r="H28" s="475"/>
      <c r="I28" s="476"/>
    </row>
    <row r="29" spans="1:17" ht="15">
      <c r="A29" s="378" t="s">
        <v>263</v>
      </c>
      <c r="B29" s="378"/>
      <c r="C29" s="379"/>
      <c r="D29" s="386">
        <v>7000</v>
      </c>
      <c r="E29" s="387"/>
      <c r="F29" s="388"/>
      <c r="G29" s="461"/>
      <c r="H29" s="462"/>
      <c r="I29" s="463"/>
      <c r="J29" s="76"/>
      <c r="K29" s="76"/>
      <c r="L29" s="76"/>
    </row>
    <row r="30" spans="1:17">
      <c r="A30" s="389" t="s">
        <v>264</v>
      </c>
      <c r="B30" s="389"/>
      <c r="C30" s="390"/>
      <c r="D30" s="381">
        <v>1000</v>
      </c>
      <c r="E30" s="381"/>
      <c r="F30" s="382"/>
      <c r="G30" s="466">
        <v>898.64</v>
      </c>
      <c r="H30" s="467"/>
      <c r="I30" s="468"/>
      <c r="J30" s="80"/>
    </row>
    <row r="31" spans="1:17">
      <c r="A31" s="378" t="s">
        <v>265</v>
      </c>
      <c r="B31" s="378"/>
      <c r="C31" s="379"/>
      <c r="D31" s="441">
        <v>400</v>
      </c>
      <c r="E31" s="441"/>
      <c r="F31" s="442"/>
      <c r="G31" s="461"/>
      <c r="H31" s="462"/>
      <c r="I31" s="463"/>
      <c r="J31" s="81"/>
    </row>
    <row r="32" spans="1:17" ht="24.75" customHeight="1">
      <c r="A32" s="389" t="s">
        <v>266</v>
      </c>
      <c r="B32" s="389"/>
      <c r="C32" s="390"/>
      <c r="D32" s="381">
        <v>150</v>
      </c>
      <c r="E32" s="381"/>
      <c r="F32" s="382"/>
      <c r="G32" s="466"/>
      <c r="H32" s="467"/>
      <c r="I32" s="468"/>
      <c r="J32" s="82"/>
    </row>
    <row r="33" spans="1:23" ht="14.25" customHeight="1">
      <c r="A33" s="378" t="s">
        <v>267</v>
      </c>
      <c r="B33" s="378"/>
      <c r="C33" s="379"/>
      <c r="D33" s="392">
        <v>100</v>
      </c>
      <c r="E33" s="392"/>
      <c r="F33" s="393"/>
      <c r="G33" s="391"/>
      <c r="H33" s="392"/>
      <c r="I33" s="393"/>
      <c r="J33" s="81"/>
      <c r="K33" s="156"/>
      <c r="L33" s="156"/>
      <c r="M33" s="156"/>
    </row>
    <row r="34" spans="1:23">
      <c r="A34" s="389" t="s">
        <v>268</v>
      </c>
      <c r="B34" s="389"/>
      <c r="C34" s="390"/>
      <c r="D34" s="381">
        <v>800</v>
      </c>
      <c r="E34" s="381"/>
      <c r="F34" s="382"/>
      <c r="G34" s="466">
        <v>909.99</v>
      </c>
      <c r="H34" s="467"/>
      <c r="I34" s="468"/>
      <c r="J34" s="81"/>
      <c r="K34" s="81"/>
      <c r="L34" s="81"/>
    </row>
    <row r="35" spans="1:23">
      <c r="A35" s="378" t="s">
        <v>269</v>
      </c>
      <c r="B35" s="378"/>
      <c r="C35" s="379"/>
      <c r="D35" s="392">
        <v>200</v>
      </c>
      <c r="E35" s="392"/>
      <c r="F35" s="393"/>
      <c r="G35" s="461"/>
      <c r="H35" s="462"/>
      <c r="I35" s="463"/>
      <c r="J35" s="81"/>
      <c r="K35" s="81"/>
      <c r="L35" s="81"/>
    </row>
    <row r="36" spans="1:23" ht="20.25">
      <c r="A36" s="389" t="s">
        <v>270</v>
      </c>
      <c r="B36" s="389"/>
      <c r="C36" s="390"/>
      <c r="D36" s="407">
        <v>450</v>
      </c>
      <c r="E36" s="408"/>
      <c r="F36" s="409"/>
      <c r="G36" s="466"/>
      <c r="H36" s="467"/>
      <c r="I36" s="468"/>
      <c r="J36" s="81"/>
      <c r="K36" s="81"/>
      <c r="L36" s="81"/>
      <c r="T36" s="458" t="s">
        <v>281</v>
      </c>
      <c r="U36" s="459"/>
      <c r="V36" s="459"/>
      <c r="W36" s="83">
        <f>J16+J26+D46</f>
        <v>265112.61</v>
      </c>
    </row>
    <row r="37" spans="1:23">
      <c r="A37" s="378" t="s">
        <v>271</v>
      </c>
      <c r="B37" s="378"/>
      <c r="C37" s="379"/>
      <c r="D37" s="391">
        <v>300</v>
      </c>
      <c r="E37" s="392"/>
      <c r="F37" s="393"/>
      <c r="G37" s="461">
        <v>281.08</v>
      </c>
      <c r="H37" s="462"/>
      <c r="I37" s="463"/>
      <c r="J37" s="82"/>
      <c r="T37" s="81"/>
      <c r="U37" s="81"/>
    </row>
    <row r="38" spans="1:23" ht="20.25">
      <c r="A38" s="389" t="s">
        <v>272</v>
      </c>
      <c r="B38" s="389"/>
      <c r="C38" s="390"/>
      <c r="D38" s="460">
        <v>600</v>
      </c>
      <c r="E38" s="408"/>
      <c r="F38" s="409"/>
      <c r="G38" s="466">
        <v>598.65</v>
      </c>
      <c r="H38" s="467"/>
      <c r="I38" s="468"/>
      <c r="T38" s="458" t="s">
        <v>466</v>
      </c>
      <c r="U38" s="459"/>
      <c r="V38" s="459"/>
      <c r="W38" s="157">
        <f>G3+G4+G5+G6+G7+G9+T8+D11+D12+R13+R14+R15</f>
        <v>396808.65999999992</v>
      </c>
    </row>
    <row r="39" spans="1:23">
      <c r="A39" s="378" t="s">
        <v>273</v>
      </c>
      <c r="B39" s="378"/>
      <c r="C39" s="379"/>
      <c r="D39" s="392">
        <v>1500</v>
      </c>
      <c r="E39" s="392"/>
      <c r="F39" s="393"/>
      <c r="G39" s="461">
        <v>1783.77</v>
      </c>
      <c r="H39" s="462"/>
      <c r="I39" s="463"/>
    </row>
    <row r="40" spans="1:23" ht="20.25">
      <c r="A40" s="389" t="s">
        <v>274</v>
      </c>
      <c r="B40" s="389"/>
      <c r="C40" s="390"/>
      <c r="D40" s="381">
        <v>600</v>
      </c>
      <c r="E40" s="381"/>
      <c r="F40" s="382"/>
      <c r="G40" s="466">
        <v>635.33000000000004</v>
      </c>
      <c r="H40" s="467"/>
      <c r="I40" s="468"/>
      <c r="T40" s="464" t="s">
        <v>463</v>
      </c>
      <c r="U40" s="465"/>
      <c r="V40" s="465"/>
      <c r="W40" s="157">
        <f>W38+D46</f>
        <v>411358.65999999992</v>
      </c>
    </row>
    <row r="41" spans="1:23">
      <c r="A41" s="378" t="s">
        <v>275</v>
      </c>
      <c r="B41" s="378"/>
      <c r="C41" s="379"/>
      <c r="D41" s="392">
        <v>200</v>
      </c>
      <c r="E41" s="392"/>
      <c r="F41" s="393"/>
      <c r="G41" s="461">
        <v>104.77</v>
      </c>
      <c r="H41" s="462"/>
      <c r="I41" s="463"/>
    </row>
    <row r="42" spans="1:23">
      <c r="A42" s="389" t="s">
        <v>276</v>
      </c>
      <c r="B42" s="389"/>
      <c r="C42" s="390"/>
      <c r="D42" s="381">
        <v>500</v>
      </c>
      <c r="E42" s="381"/>
      <c r="F42" s="382"/>
      <c r="G42" s="466">
        <v>202.9</v>
      </c>
      <c r="H42" s="467"/>
      <c r="I42" s="468"/>
    </row>
    <row r="43" spans="1:23">
      <c r="A43" s="378" t="s">
        <v>277</v>
      </c>
      <c r="B43" s="378"/>
      <c r="C43" s="379"/>
      <c r="D43" s="392">
        <v>200</v>
      </c>
      <c r="E43" s="392"/>
      <c r="F43" s="393"/>
      <c r="G43" s="461">
        <v>2558.33</v>
      </c>
      <c r="H43" s="462"/>
      <c r="I43" s="463"/>
    </row>
    <row r="44" spans="1:23">
      <c r="A44" s="389" t="s">
        <v>278</v>
      </c>
      <c r="B44" s="389"/>
      <c r="C44" s="390"/>
      <c r="D44" s="381">
        <v>400</v>
      </c>
      <c r="E44" s="381"/>
      <c r="F44" s="382"/>
      <c r="G44" s="466">
        <v>479.91</v>
      </c>
      <c r="H44" s="467"/>
      <c r="I44" s="468"/>
    </row>
    <row r="45" spans="1:23">
      <c r="A45" s="378" t="s">
        <v>279</v>
      </c>
      <c r="B45" s="378"/>
      <c r="C45" s="379"/>
      <c r="D45" s="392">
        <v>150</v>
      </c>
      <c r="E45" s="392"/>
      <c r="F45" s="393"/>
      <c r="G45" s="461">
        <v>90.64</v>
      </c>
      <c r="H45" s="462"/>
      <c r="I45" s="463"/>
    </row>
    <row r="46" spans="1:23" ht="15">
      <c r="D46" s="477">
        <f>D29+D30+D31+D32+D33+D34+D35+D36+D37+D38+D39+D40+D41+D42+D43+D44+D45</f>
        <v>14550</v>
      </c>
      <c r="E46" s="470"/>
      <c r="F46" s="471"/>
      <c r="G46" s="419">
        <f>G30+G34+G37+G38+G39+G40+G41+G42+G43+G44+G45</f>
        <v>8544.01</v>
      </c>
      <c r="H46" s="397"/>
      <c r="I46" s="398"/>
    </row>
  </sheetData>
  <mergeCells count="206"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  <mergeCell ref="A32:C32"/>
    <mergeCell ref="D32:F32"/>
    <mergeCell ref="A33:C33"/>
    <mergeCell ref="D22:F22"/>
    <mergeCell ref="D46:F46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D26:F26"/>
    <mergeCell ref="A28:C28"/>
    <mergeCell ref="D28:F28"/>
    <mergeCell ref="A25:C25"/>
    <mergeCell ref="D25:F25"/>
    <mergeCell ref="A23:C23"/>
    <mergeCell ref="D23:F23"/>
    <mergeCell ref="A24:C24"/>
    <mergeCell ref="J16:L16"/>
    <mergeCell ref="G16:I16"/>
    <mergeCell ref="G26:I26"/>
    <mergeCell ref="J25:L25"/>
    <mergeCell ref="G37:I37"/>
    <mergeCell ref="G38:I38"/>
    <mergeCell ref="G39:I39"/>
    <mergeCell ref="G40:I40"/>
    <mergeCell ref="J22:L22"/>
    <mergeCell ref="J23:L23"/>
    <mergeCell ref="J24:L24"/>
    <mergeCell ref="J26:L26"/>
    <mergeCell ref="G33:I33"/>
    <mergeCell ref="G36:I36"/>
    <mergeCell ref="G28:I28"/>
    <mergeCell ref="G29:I29"/>
    <mergeCell ref="G30:I30"/>
    <mergeCell ref="G31:I31"/>
    <mergeCell ref="G32:I32"/>
    <mergeCell ref="G34:I34"/>
    <mergeCell ref="G35:I35"/>
    <mergeCell ref="G45:I45"/>
    <mergeCell ref="T40:V40"/>
    <mergeCell ref="T38:V38"/>
    <mergeCell ref="A38:C38"/>
    <mergeCell ref="G46:I46"/>
    <mergeCell ref="G41:I41"/>
    <mergeCell ref="G42:I42"/>
    <mergeCell ref="G43:I43"/>
    <mergeCell ref="G44:I44"/>
    <mergeCell ref="D15:F15"/>
    <mergeCell ref="G15:I15"/>
    <mergeCell ref="A22:C22"/>
    <mergeCell ref="A20:C20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6:C36"/>
    <mergeCell ref="D36:F36"/>
    <mergeCell ref="D37:F37"/>
    <mergeCell ref="D24:F24"/>
    <mergeCell ref="G24:I24"/>
    <mergeCell ref="G23:I23"/>
    <mergeCell ref="G25:I25"/>
    <mergeCell ref="G22:I22"/>
    <mergeCell ref="D20:F20"/>
    <mergeCell ref="G20:I20"/>
    <mergeCell ref="D21:F21"/>
    <mergeCell ref="G21:I21"/>
    <mergeCell ref="G3:I3"/>
    <mergeCell ref="G4:I4"/>
    <mergeCell ref="G5:I5"/>
    <mergeCell ref="G6:I6"/>
    <mergeCell ref="G7:I7"/>
    <mergeCell ref="G9:I9"/>
    <mergeCell ref="G10:I10"/>
    <mergeCell ref="G11:I11"/>
    <mergeCell ref="D8:F8"/>
    <mergeCell ref="G8:I8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J2:L2"/>
    <mergeCell ref="J3:L3"/>
    <mergeCell ref="D2:F2"/>
    <mergeCell ref="D3:F3"/>
    <mergeCell ref="D4:F4"/>
    <mergeCell ref="J4:L4"/>
    <mergeCell ref="J5:L5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O20:Q20"/>
    <mergeCell ref="O21:Q21"/>
    <mergeCell ref="O22:Q22"/>
    <mergeCell ref="O25:Q25"/>
    <mergeCell ref="O26:Q26"/>
    <mergeCell ref="M20:N20"/>
    <mergeCell ref="T4:U4"/>
    <mergeCell ref="P15:Q15"/>
    <mergeCell ref="M23:N23"/>
    <mergeCell ref="M24:N24"/>
    <mergeCell ref="O23:Q23"/>
    <mergeCell ref="O24:Q24"/>
    <mergeCell ref="M21:N21"/>
    <mergeCell ref="M22:N22"/>
    <mergeCell ref="R13:S13"/>
    <mergeCell ref="R14:S14"/>
    <mergeCell ref="R15:S15"/>
    <mergeCell ref="R16:S16"/>
    <mergeCell ref="J6:L6"/>
    <mergeCell ref="M8:O8"/>
    <mergeCell ref="P8:Q8"/>
    <mergeCell ref="R8:S8"/>
    <mergeCell ref="M13:O13"/>
    <mergeCell ref="P13:Q13"/>
    <mergeCell ref="M14:O14"/>
    <mergeCell ref="M15:O15"/>
    <mergeCell ref="P14:Q14"/>
    <mergeCell ref="J10:L10"/>
    <mergeCell ref="J11:L11"/>
    <mergeCell ref="J12:L12"/>
    <mergeCell ref="M9:O9"/>
    <mergeCell ref="J13:L13"/>
    <mergeCell ref="J14:L14"/>
    <mergeCell ref="J15:L15"/>
    <mergeCell ref="A21:C21"/>
    <mergeCell ref="A10:C10"/>
    <mergeCell ref="D9:F9"/>
    <mergeCell ref="J20:L20"/>
    <mergeCell ref="J21:L21"/>
    <mergeCell ref="A11:C11"/>
    <mergeCell ref="A9:C9"/>
    <mergeCell ref="J7:L7"/>
    <mergeCell ref="J9:L9"/>
    <mergeCell ref="A8:C8"/>
    <mergeCell ref="J8:L8"/>
    <mergeCell ref="D10:F10"/>
    <mergeCell ref="D11:F11"/>
    <mergeCell ref="A12:C12"/>
    <mergeCell ref="G12:I12"/>
    <mergeCell ref="D16:F16"/>
    <mergeCell ref="D12:F12"/>
    <mergeCell ref="A13:C13"/>
    <mergeCell ref="D13:F13"/>
    <mergeCell ref="G13:I13"/>
    <mergeCell ref="A14:C14"/>
    <mergeCell ref="D14:F14"/>
    <mergeCell ref="G14:I14"/>
    <mergeCell ref="A15:C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1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80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9"/>
    </row>
    <row r="22" spans="1:6" ht="15">
      <c r="A22" s="92" t="s">
        <v>496</v>
      </c>
      <c r="B22" s="278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7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6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5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2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4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487" t="s">
        <v>333</v>
      </c>
      <c r="B28" s="488"/>
      <c r="C28" s="488"/>
      <c r="D28" s="488"/>
      <c r="E28" s="109" t="s">
        <v>361</v>
      </c>
      <c r="F28" s="487" t="s">
        <v>349</v>
      </c>
      <c r="G28" s="487"/>
      <c r="H28" s="487"/>
      <c r="I28" s="487"/>
      <c r="J28" s="487"/>
      <c r="K28" s="487"/>
      <c r="L28" s="487"/>
      <c r="M28" s="487"/>
      <c r="N28" s="487"/>
      <c r="O28" s="109" t="s">
        <v>361</v>
      </c>
      <c r="P28" s="487" t="s">
        <v>357</v>
      </c>
      <c r="Q28" s="487"/>
      <c r="R28" s="487"/>
      <c r="S28" s="487"/>
      <c r="T28" s="487"/>
      <c r="U28" s="487"/>
      <c r="V28" s="487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485" t="s">
        <v>350</v>
      </c>
      <c r="G29" s="485"/>
      <c r="H29" s="486" t="s">
        <v>351</v>
      </c>
      <c r="I29" s="486"/>
      <c r="J29" s="486"/>
      <c r="K29" s="486"/>
      <c r="L29" s="486"/>
      <c r="M29" s="486"/>
      <c r="N29" s="486"/>
      <c r="P29" s="342" t="s">
        <v>358</v>
      </c>
      <c r="Q29" s="342"/>
      <c r="R29" s="342"/>
      <c r="S29" s="342"/>
      <c r="T29" s="342"/>
      <c r="U29" s="342"/>
      <c r="V29" s="342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485"/>
      <c r="G30" s="485"/>
      <c r="H30" s="486"/>
      <c r="I30" s="486"/>
      <c r="J30" s="486"/>
      <c r="K30" s="486"/>
      <c r="L30" s="486"/>
      <c r="M30" s="486"/>
      <c r="N30" s="486"/>
      <c r="P30" s="342" t="s">
        <v>359</v>
      </c>
      <c r="Q30" s="342"/>
      <c r="R30" s="342"/>
      <c r="S30" s="342"/>
      <c r="T30" s="342"/>
      <c r="U30" s="342"/>
      <c r="V30" s="342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485" t="s">
        <v>352</v>
      </c>
      <c r="G31" s="485"/>
      <c r="H31" s="486" t="s">
        <v>353</v>
      </c>
      <c r="I31" s="486"/>
      <c r="J31" s="486"/>
      <c r="K31" s="486"/>
      <c r="L31" s="486"/>
      <c r="M31" s="486"/>
      <c r="N31" s="486"/>
      <c r="P31" s="486" t="s">
        <v>360</v>
      </c>
      <c r="Q31" s="486"/>
      <c r="R31" s="486"/>
      <c r="S31" s="486"/>
      <c r="T31" s="486"/>
      <c r="U31" s="486"/>
      <c r="V31" s="486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485"/>
      <c r="G32" s="485"/>
      <c r="H32" s="486"/>
      <c r="I32" s="486"/>
      <c r="J32" s="486"/>
      <c r="K32" s="486"/>
      <c r="L32" s="486"/>
      <c r="M32" s="486"/>
      <c r="N32" s="486"/>
      <c r="P32" s="486"/>
      <c r="Q32" s="486"/>
      <c r="R32" s="486"/>
      <c r="S32" s="486"/>
      <c r="T32" s="486"/>
      <c r="U32" s="486"/>
      <c r="V32" s="486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485" t="s">
        <v>384</v>
      </c>
      <c r="G33" s="485"/>
      <c r="H33" s="486" t="s">
        <v>354</v>
      </c>
      <c r="I33" s="486"/>
      <c r="J33" s="486"/>
      <c r="K33" s="486"/>
      <c r="L33" s="486"/>
      <c r="M33" s="486"/>
      <c r="N33" s="486"/>
      <c r="P33" s="486"/>
      <c r="Q33" s="486"/>
      <c r="R33" s="486"/>
      <c r="S33" s="486"/>
      <c r="T33" s="486"/>
      <c r="U33" s="486"/>
      <c r="V33" s="486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485"/>
      <c r="G34" s="485"/>
      <c r="H34" s="486"/>
      <c r="I34" s="486"/>
      <c r="J34" s="486"/>
      <c r="K34" s="486"/>
      <c r="L34" s="486"/>
      <c r="M34" s="486"/>
      <c r="N34" s="486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485"/>
      <c r="G35" s="485"/>
      <c r="H35" s="486"/>
      <c r="I35" s="486"/>
      <c r="J35" s="486"/>
      <c r="K35" s="486"/>
      <c r="L35" s="486"/>
      <c r="M35" s="486"/>
      <c r="N35" s="486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485" t="s">
        <v>355</v>
      </c>
      <c r="G36" s="485"/>
      <c r="H36" s="486" t="s">
        <v>356</v>
      </c>
      <c r="I36" s="486"/>
      <c r="J36" s="486"/>
      <c r="K36" s="486"/>
      <c r="L36" s="486"/>
      <c r="M36" s="486"/>
      <c r="N36" s="486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485"/>
      <c r="G37" s="485"/>
      <c r="H37" s="486"/>
      <c r="I37" s="486"/>
      <c r="J37" s="486"/>
      <c r="K37" s="486"/>
      <c r="L37" s="486"/>
      <c r="M37" s="486"/>
      <c r="N37" s="486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487" t="s">
        <v>362</v>
      </c>
      <c r="B42" s="487"/>
      <c r="C42" s="487"/>
      <c r="D42" s="487"/>
      <c r="E42" s="487"/>
      <c r="F42" s="487"/>
      <c r="G42" s="487"/>
      <c r="H42" s="487"/>
    </row>
    <row r="43" spans="1:22" ht="15">
      <c r="A43" s="490" t="s">
        <v>365</v>
      </c>
      <c r="B43" s="490"/>
      <c r="C43" s="490" t="s">
        <v>366</v>
      </c>
      <c r="D43" s="490"/>
      <c r="E43" s="490" t="s">
        <v>363</v>
      </c>
      <c r="F43" s="490"/>
      <c r="G43" s="490" t="s">
        <v>364</v>
      </c>
      <c r="H43" s="490"/>
    </row>
    <row r="44" spans="1:22" ht="14.25" customHeight="1">
      <c r="A44" s="489" t="s">
        <v>222</v>
      </c>
      <c r="B44" s="489"/>
      <c r="C44" s="491" t="s">
        <v>367</v>
      </c>
      <c r="D44" s="491"/>
      <c r="E44" s="491" t="s">
        <v>371</v>
      </c>
      <c r="F44" s="491"/>
      <c r="G44" s="486" t="s">
        <v>375</v>
      </c>
      <c r="H44" s="486"/>
    </row>
    <row r="45" spans="1:22" ht="14.25" customHeight="1">
      <c r="A45" s="489"/>
      <c r="B45" s="489"/>
      <c r="C45" s="491"/>
      <c r="D45" s="491"/>
      <c r="E45" s="491"/>
      <c r="F45" s="491"/>
      <c r="G45" s="486"/>
      <c r="H45" s="486"/>
    </row>
    <row r="46" spans="1:22">
      <c r="A46" s="489"/>
      <c r="B46" s="489"/>
      <c r="C46" s="491"/>
      <c r="D46" s="491"/>
      <c r="E46" s="491"/>
      <c r="F46" s="491"/>
      <c r="G46" s="486"/>
      <c r="H46" s="486"/>
    </row>
    <row r="47" spans="1:22" ht="14.25" customHeight="1">
      <c r="A47" s="489" t="s">
        <v>227</v>
      </c>
      <c r="B47" s="489"/>
      <c r="C47" s="491" t="s">
        <v>368</v>
      </c>
      <c r="D47" s="491"/>
      <c r="E47" s="491" t="s">
        <v>372</v>
      </c>
      <c r="F47" s="491"/>
      <c r="G47" s="486" t="s">
        <v>376</v>
      </c>
      <c r="H47" s="486"/>
    </row>
    <row r="48" spans="1:22" ht="14.25" customHeight="1">
      <c r="A48" s="489"/>
      <c r="B48" s="489"/>
      <c r="C48" s="491"/>
      <c r="D48" s="491"/>
      <c r="E48" s="491"/>
      <c r="F48" s="491"/>
      <c r="G48" s="486"/>
      <c r="H48" s="486"/>
    </row>
    <row r="49" spans="1:8" ht="14.25" customHeight="1">
      <c r="A49" s="489"/>
      <c r="B49" s="489"/>
      <c r="C49" s="491"/>
      <c r="D49" s="491"/>
      <c r="E49" s="491"/>
      <c r="F49" s="491"/>
      <c r="G49" s="486"/>
      <c r="H49" s="486"/>
    </row>
    <row r="50" spans="1:8">
      <c r="A50" s="489" t="s">
        <v>220</v>
      </c>
      <c r="B50" s="489"/>
      <c r="C50" s="491" t="s">
        <v>369</v>
      </c>
      <c r="D50" s="491"/>
      <c r="E50" s="486" t="s">
        <v>373</v>
      </c>
      <c r="F50" s="486"/>
      <c r="G50" s="491" t="s">
        <v>377</v>
      </c>
      <c r="H50" s="491"/>
    </row>
    <row r="51" spans="1:8">
      <c r="A51" s="489"/>
      <c r="B51" s="489"/>
      <c r="C51" s="491"/>
      <c r="D51" s="491"/>
      <c r="E51" s="486"/>
      <c r="F51" s="486"/>
      <c r="G51" s="491"/>
      <c r="H51" s="491"/>
    </row>
    <row r="52" spans="1:8">
      <c r="A52" s="489"/>
      <c r="B52" s="489"/>
      <c r="C52" s="491"/>
      <c r="D52" s="491"/>
      <c r="E52" s="486"/>
      <c r="F52" s="486"/>
      <c r="G52" s="491"/>
      <c r="H52" s="491"/>
    </row>
    <row r="53" spans="1:8">
      <c r="A53" s="489"/>
      <c r="B53" s="489"/>
      <c r="C53" s="491"/>
      <c r="D53" s="491"/>
      <c r="E53" s="486"/>
      <c r="F53" s="486"/>
      <c r="G53" s="491"/>
      <c r="H53" s="491"/>
    </row>
    <row r="54" spans="1:8">
      <c r="A54" s="489" t="s">
        <v>219</v>
      </c>
      <c r="B54" s="489"/>
      <c r="C54" s="491" t="s">
        <v>370</v>
      </c>
      <c r="D54" s="491"/>
      <c r="E54" s="486" t="s">
        <v>374</v>
      </c>
      <c r="F54" s="486"/>
      <c r="G54" s="486" t="s">
        <v>378</v>
      </c>
      <c r="H54" s="486"/>
    </row>
    <row r="55" spans="1:8">
      <c r="A55" s="489"/>
      <c r="B55" s="489"/>
      <c r="C55" s="491"/>
      <c r="D55" s="491"/>
      <c r="E55" s="486"/>
      <c r="F55" s="486"/>
      <c r="G55" s="486"/>
      <c r="H55" s="486"/>
    </row>
  </sheetData>
  <mergeCells count="35">
    <mergeCell ref="E47:F49"/>
    <mergeCell ref="G47:H49"/>
    <mergeCell ref="C54:D55"/>
    <mergeCell ref="E54:F55"/>
    <mergeCell ref="G54:H5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P28:V28"/>
    <mergeCell ref="P29:V29"/>
    <mergeCell ref="P30:V30"/>
    <mergeCell ref="P31:V33"/>
    <mergeCell ref="F33:G35"/>
    <mergeCell ref="H33:N35"/>
    <mergeCell ref="F36:G37"/>
    <mergeCell ref="H36:N37"/>
    <mergeCell ref="F28:N28"/>
    <mergeCell ref="A28:D28"/>
    <mergeCell ref="F29:G30"/>
    <mergeCell ref="F31:G32"/>
    <mergeCell ref="H29:N30"/>
    <mergeCell ref="H31:N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CBE9-D8E8-42AF-9805-0B9FDC46FC28}">
  <dimension ref="A1:D9"/>
  <sheetViews>
    <sheetView workbookViewId="0">
      <selection activeCell="D11" sqref="D11"/>
    </sheetView>
  </sheetViews>
  <sheetFormatPr defaultRowHeight="14.25"/>
  <cols>
    <col min="1" max="1" width="52.125" customWidth="1"/>
    <col min="2" max="2" width="13.125" customWidth="1"/>
    <col min="3" max="3" width="17.625" customWidth="1"/>
    <col min="4" max="4" width="70.75" customWidth="1"/>
    <col min="5" max="5" width="13.5" customWidth="1"/>
  </cols>
  <sheetData>
    <row r="1" spans="1:4" ht="15">
      <c r="A1" s="283" t="s">
        <v>554</v>
      </c>
      <c r="B1" s="216" t="s">
        <v>555</v>
      </c>
      <c r="C1" s="284"/>
      <c r="D1" s="90"/>
    </row>
    <row r="2" spans="1:4">
      <c r="A2" s="126" t="s">
        <v>556</v>
      </c>
      <c r="B2" s="176" t="s">
        <v>557</v>
      </c>
      <c r="C2" s="285"/>
    </row>
    <row r="3" spans="1:4">
      <c r="A3" s="126" t="s">
        <v>558</v>
      </c>
      <c r="B3" s="176" t="s">
        <v>559</v>
      </c>
      <c r="C3" s="286">
        <f>IF(C4&gt;=110,50,IF(C4&gt;=71,55,IF(C4&gt;=41,60,IF(C4&gt;=15,65,0))))</f>
        <v>0</v>
      </c>
      <c r="D3" t="s">
        <v>560</v>
      </c>
    </row>
    <row r="4" spans="1:4">
      <c r="A4" s="126" t="s">
        <v>561</v>
      </c>
      <c r="B4" s="176" t="s">
        <v>562</v>
      </c>
      <c r="C4" s="287"/>
    </row>
    <row r="5" spans="1:4">
      <c r="A5" s="126" t="s">
        <v>563</v>
      </c>
      <c r="B5" s="176" t="s">
        <v>564</v>
      </c>
      <c r="C5" s="288">
        <f>C6*(C2+C3)</f>
        <v>0</v>
      </c>
    </row>
    <row r="6" spans="1:4">
      <c r="A6" s="126" t="s">
        <v>565</v>
      </c>
      <c r="B6" s="176" t="s">
        <v>566</v>
      </c>
      <c r="C6" s="285"/>
    </row>
    <row r="7" spans="1:4">
      <c r="A7" s="126" t="s">
        <v>567</v>
      </c>
      <c r="B7" s="176" t="s">
        <v>568</v>
      </c>
      <c r="C7" s="286">
        <f>C6*C3</f>
        <v>0</v>
      </c>
    </row>
    <row r="8" spans="1:4" ht="15" thickBot="1">
      <c r="A8" s="128" t="s">
        <v>569</v>
      </c>
      <c r="B8" s="95"/>
      <c r="C8" s="289">
        <f>C5-C7</f>
        <v>0</v>
      </c>
    </row>
    <row r="9" spans="1:4">
      <c r="C9" s="28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590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51" t="s">
        <v>291</v>
      </c>
      <c r="I3" s="352"/>
      <c r="J3" s="352"/>
      <c r="K3" s="352"/>
      <c r="L3" s="352"/>
      <c r="M3" s="352"/>
      <c r="N3" s="352"/>
      <c r="O3" s="352"/>
      <c r="P3" s="352"/>
      <c r="Q3" s="353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501" t="s">
        <v>453</v>
      </c>
      <c r="B9" s="503" t="s">
        <v>239</v>
      </c>
      <c r="C9" s="503" t="s">
        <v>239</v>
      </c>
      <c r="D9" s="503" t="s">
        <v>239</v>
      </c>
      <c r="E9" s="505" t="s">
        <v>239</v>
      </c>
      <c r="H9" s="142"/>
      <c r="N9" s="121"/>
      <c r="P9" s="143"/>
      <c r="Q9" s="65"/>
    </row>
    <row r="10" spans="1:17" ht="15">
      <c r="A10" s="502"/>
      <c r="B10" s="504"/>
      <c r="C10" s="504"/>
      <c r="D10" s="504"/>
      <c r="E10" s="506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492" t="s">
        <v>470</v>
      </c>
      <c r="I13" s="493"/>
      <c r="J13" s="493"/>
      <c r="K13" s="493"/>
      <c r="L13" s="493"/>
      <c r="M13" s="493"/>
      <c r="N13" s="493"/>
      <c r="O13" s="493"/>
      <c r="P13" s="493"/>
      <c r="Q13" s="494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495"/>
      <c r="I14" s="496"/>
      <c r="J14" s="496"/>
      <c r="K14" s="496"/>
      <c r="L14" s="496"/>
      <c r="M14" s="496"/>
      <c r="N14" s="496"/>
      <c r="O14" s="496"/>
      <c r="P14" s="496"/>
      <c r="Q14" s="497"/>
    </row>
    <row r="15" spans="1:17" ht="15.75" customHeight="1">
      <c r="A15" s="507" t="s">
        <v>471</v>
      </c>
      <c r="B15" s="509" t="s">
        <v>239</v>
      </c>
      <c r="C15" s="509" t="s">
        <v>239</v>
      </c>
      <c r="D15" s="509" t="s">
        <v>239</v>
      </c>
      <c r="E15" s="510" t="s">
        <v>240</v>
      </c>
      <c r="H15" s="495"/>
      <c r="I15" s="496"/>
      <c r="J15" s="496"/>
      <c r="K15" s="496"/>
      <c r="L15" s="496"/>
      <c r="M15" s="496"/>
      <c r="N15" s="496"/>
      <c r="O15" s="496"/>
      <c r="P15" s="496"/>
      <c r="Q15" s="497"/>
    </row>
    <row r="16" spans="1:17" ht="15" customHeight="1">
      <c r="A16" s="508"/>
      <c r="B16" s="504"/>
      <c r="C16" s="504"/>
      <c r="D16" s="504"/>
      <c r="E16" s="511"/>
      <c r="H16" s="495"/>
      <c r="I16" s="496"/>
      <c r="J16" s="496"/>
      <c r="K16" s="496"/>
      <c r="L16" s="496"/>
      <c r="M16" s="496"/>
      <c r="N16" s="496"/>
      <c r="O16" s="496"/>
      <c r="P16" s="496"/>
      <c r="Q16" s="497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495"/>
      <c r="I17" s="496"/>
      <c r="J17" s="496"/>
      <c r="K17" s="496"/>
      <c r="L17" s="496"/>
      <c r="M17" s="496"/>
      <c r="N17" s="496"/>
      <c r="O17" s="496"/>
      <c r="P17" s="496"/>
      <c r="Q17" s="497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495"/>
      <c r="I18" s="496"/>
      <c r="J18" s="496"/>
      <c r="K18" s="496"/>
      <c r="L18" s="496"/>
      <c r="M18" s="496"/>
      <c r="N18" s="496"/>
      <c r="O18" s="496"/>
      <c r="P18" s="496"/>
      <c r="Q18" s="497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498"/>
      <c r="I19" s="499"/>
      <c r="J19" s="499"/>
      <c r="K19" s="499"/>
      <c r="L19" s="499"/>
      <c r="M19" s="499"/>
      <c r="N19" s="499"/>
      <c r="O19" s="499"/>
      <c r="P19" s="499"/>
      <c r="Q19" s="500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23" t="s">
        <v>223</v>
      </c>
      <c r="B1" s="524"/>
      <c r="C1" s="524"/>
      <c r="D1" s="524"/>
      <c r="E1" s="524"/>
      <c r="F1" s="524"/>
      <c r="G1" s="525"/>
    </row>
    <row r="2" spans="1:7" ht="15">
      <c r="A2" s="520" t="s">
        <v>395</v>
      </c>
      <c r="B2" s="521"/>
      <c r="C2" s="521"/>
      <c r="D2" s="521"/>
      <c r="E2" s="521"/>
      <c r="F2" s="521"/>
      <c r="G2" s="522"/>
    </row>
    <row r="3" spans="1:7" ht="15" thickBot="1">
      <c r="A3" s="532" t="s">
        <v>455</v>
      </c>
      <c r="B3" s="533"/>
      <c r="C3" s="533"/>
      <c r="D3" s="533"/>
      <c r="E3" s="533"/>
      <c r="F3" s="123"/>
      <c r="G3" s="124"/>
    </row>
    <row r="4" spans="1:7" ht="15">
      <c r="A4" s="529" t="s">
        <v>394</v>
      </c>
      <c r="B4" s="530"/>
      <c r="C4" s="530"/>
      <c r="D4" s="530"/>
      <c r="E4" s="530"/>
      <c r="F4" s="530"/>
      <c r="G4" s="531"/>
    </row>
    <row r="5" spans="1:7" ht="15" thickBot="1">
      <c r="A5" s="534" t="s">
        <v>397</v>
      </c>
      <c r="B5" s="535"/>
      <c r="C5" s="535"/>
      <c r="D5" s="535"/>
      <c r="E5" s="535"/>
      <c r="F5" s="535"/>
      <c r="G5" s="536"/>
    </row>
    <row r="6" spans="1:7" ht="15">
      <c r="A6" s="520" t="s">
        <v>396</v>
      </c>
      <c r="B6" s="521"/>
      <c r="C6" s="521"/>
      <c r="D6" s="521"/>
      <c r="E6" s="521"/>
      <c r="F6" s="521"/>
      <c r="G6" s="522"/>
    </row>
    <row r="7" spans="1:7" ht="15" thickBot="1">
      <c r="A7" s="526" t="s">
        <v>398</v>
      </c>
      <c r="B7" s="527"/>
      <c r="C7" s="527"/>
      <c r="D7" s="527"/>
      <c r="E7" s="527"/>
      <c r="F7" s="527"/>
      <c r="G7" s="528"/>
    </row>
    <row r="8" spans="1:7" ht="15">
      <c r="A8" s="514"/>
      <c r="B8" s="515"/>
      <c r="C8" s="515"/>
      <c r="D8" s="515"/>
      <c r="E8" s="515"/>
      <c r="F8" s="515"/>
      <c r="G8" s="516"/>
    </row>
    <row r="9" spans="1:7" ht="15" thickBot="1">
      <c r="A9" s="517"/>
      <c r="B9" s="518"/>
      <c r="C9" s="518"/>
      <c r="D9" s="518"/>
      <c r="E9" s="518"/>
      <c r="F9" s="518"/>
      <c r="G9" s="519"/>
    </row>
    <row r="10" spans="1:7" ht="15">
      <c r="A10" s="512"/>
      <c r="B10" s="512"/>
      <c r="C10" s="512"/>
      <c r="D10" s="512"/>
      <c r="E10" s="512"/>
      <c r="F10" s="512"/>
      <c r="G10" s="512"/>
    </row>
    <row r="11" spans="1:7">
      <c r="A11" s="513"/>
      <c r="B11" s="513"/>
      <c r="C11" s="513"/>
      <c r="D11" s="513"/>
      <c r="E11" s="513"/>
      <c r="F11" s="513"/>
      <c r="G11" s="513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:G1"/>
    <mergeCell ref="A7:G7"/>
    <mergeCell ref="A4:G4"/>
    <mergeCell ref="A6:G6"/>
    <mergeCell ref="A3:E3"/>
    <mergeCell ref="A5:G5"/>
    <mergeCell ref="A10:G10"/>
    <mergeCell ref="A11:G11"/>
    <mergeCell ref="A8:G8"/>
    <mergeCell ref="A9:G9"/>
    <mergeCell ref="A2:G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37" t="s">
        <v>456</v>
      </c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8"/>
    </row>
    <row r="2" spans="1:18">
      <c r="A2" s="539" t="s">
        <v>458</v>
      </c>
      <c r="B2" s="540" t="s">
        <v>459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  <c r="R2" s="541"/>
    </row>
    <row r="3" spans="1:18">
      <c r="A3" s="539"/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1"/>
    </row>
    <row r="4" spans="1:18">
      <c r="A4" s="539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1"/>
    </row>
    <row r="5" spans="1:18">
      <c r="A5" s="539"/>
      <c r="B5" s="540"/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1"/>
    </row>
    <row r="6" spans="1:18">
      <c r="A6" s="539" t="s">
        <v>460</v>
      </c>
      <c r="B6" s="540" t="s">
        <v>461</v>
      </c>
      <c r="C6" s="540"/>
      <c r="D6" s="540"/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1"/>
    </row>
    <row r="7" spans="1:18">
      <c r="A7" s="539"/>
      <c r="B7" s="540"/>
      <c r="C7" s="540"/>
      <c r="D7" s="540"/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1"/>
    </row>
    <row r="8" spans="1:18" ht="15" thickBot="1">
      <c r="A8" s="542"/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43"/>
      <c r="O8" s="543"/>
      <c r="P8" s="543"/>
      <c r="Q8" s="543"/>
      <c r="R8" s="544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63" t="s">
        <v>284</v>
      </c>
      <c r="E2" s="363"/>
      <c r="F2" s="363"/>
      <c r="G2" s="363"/>
      <c r="H2" s="363"/>
      <c r="I2" s="363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62" t="s">
        <v>317</v>
      </c>
      <c r="B10" s="563"/>
      <c r="C10" s="563"/>
      <c r="D10" s="563"/>
      <c r="E10" s="563"/>
      <c r="F10" s="563"/>
      <c r="G10" s="563"/>
      <c r="H10" s="563"/>
      <c r="I10" s="563"/>
      <c r="J10" s="563"/>
    </row>
    <row r="11" spans="1:16" ht="15">
      <c r="A11" s="557" t="s">
        <v>302</v>
      </c>
      <c r="B11" s="558"/>
      <c r="C11" s="559"/>
      <c r="D11" s="557" t="s">
        <v>315</v>
      </c>
      <c r="E11" s="559"/>
      <c r="F11" s="557" t="s">
        <v>304</v>
      </c>
      <c r="G11" s="559"/>
      <c r="H11" s="487" t="s">
        <v>321</v>
      </c>
      <c r="I11" s="487"/>
      <c r="J11" s="487"/>
      <c r="K11" s="487" t="s">
        <v>323</v>
      </c>
      <c r="L11" s="487"/>
      <c r="M11" s="487"/>
      <c r="N11" s="487"/>
      <c r="O11" s="487"/>
      <c r="P11" s="487"/>
    </row>
    <row r="12" spans="1:16" ht="15">
      <c r="A12" s="554" t="s">
        <v>303</v>
      </c>
      <c r="B12" s="555"/>
      <c r="C12" s="556"/>
      <c r="D12" s="560" t="s">
        <v>301</v>
      </c>
      <c r="E12" s="561"/>
      <c r="F12" s="566">
        <v>400</v>
      </c>
      <c r="G12" s="567"/>
      <c r="H12" s="564" t="s">
        <v>331</v>
      </c>
      <c r="I12" s="564"/>
      <c r="J12" s="564"/>
      <c r="K12" s="342" t="s">
        <v>325</v>
      </c>
      <c r="L12" s="342"/>
      <c r="M12" s="342"/>
      <c r="N12" s="342"/>
      <c r="O12" s="342"/>
      <c r="P12" s="342"/>
    </row>
    <row r="13" spans="1:16" ht="15">
      <c r="A13" s="554" t="s">
        <v>305</v>
      </c>
      <c r="B13" s="555"/>
      <c r="C13" s="556"/>
      <c r="D13" s="560" t="s">
        <v>332</v>
      </c>
      <c r="E13" s="561"/>
      <c r="F13" s="566">
        <v>400</v>
      </c>
      <c r="G13" s="567"/>
      <c r="H13" s="565" t="s">
        <v>330</v>
      </c>
      <c r="I13" s="565"/>
      <c r="J13" s="565"/>
      <c r="K13" s="342" t="s">
        <v>328</v>
      </c>
      <c r="L13" s="342"/>
      <c r="M13" s="342"/>
      <c r="N13" s="342"/>
      <c r="O13" s="342"/>
      <c r="P13" s="342"/>
    </row>
    <row r="14" spans="1:16" ht="15">
      <c r="A14" s="369" t="s">
        <v>312</v>
      </c>
      <c r="B14" s="369"/>
      <c r="C14" s="369"/>
      <c r="D14" s="342" t="s">
        <v>313</v>
      </c>
      <c r="E14" s="342"/>
      <c r="F14" s="546">
        <v>400</v>
      </c>
      <c r="G14" s="546"/>
      <c r="H14" s="568">
        <v>700</v>
      </c>
      <c r="I14" s="568"/>
      <c r="J14" s="568"/>
      <c r="K14" s="342" t="s">
        <v>325</v>
      </c>
      <c r="L14" s="342"/>
      <c r="M14" s="342"/>
      <c r="N14" s="342"/>
      <c r="O14" s="342"/>
      <c r="P14" s="342"/>
    </row>
    <row r="15" spans="1:16" ht="15">
      <c r="A15" s="552" t="s">
        <v>308</v>
      </c>
      <c r="B15" s="552"/>
      <c r="C15" s="552"/>
      <c r="D15" s="553" t="s">
        <v>309</v>
      </c>
      <c r="E15" s="553"/>
      <c r="F15" s="551">
        <v>80</v>
      </c>
      <c r="G15" s="551"/>
      <c r="H15" s="568">
        <v>180</v>
      </c>
      <c r="I15" s="568"/>
      <c r="J15" s="568"/>
      <c r="K15" s="342" t="s">
        <v>326</v>
      </c>
      <c r="L15" s="342"/>
      <c r="M15" s="342"/>
      <c r="N15" s="342"/>
      <c r="O15" s="342"/>
      <c r="P15" s="342"/>
    </row>
    <row r="16" spans="1:16" ht="15">
      <c r="A16" s="369" t="s">
        <v>310</v>
      </c>
      <c r="B16" s="369"/>
      <c r="C16" s="369"/>
      <c r="D16" s="342" t="s">
        <v>311</v>
      </c>
      <c r="E16" s="342"/>
      <c r="F16" s="546">
        <v>300</v>
      </c>
      <c r="G16" s="546"/>
      <c r="H16" s="568">
        <v>500</v>
      </c>
      <c r="I16" s="568"/>
      <c r="J16" s="568"/>
      <c r="K16" s="342" t="s">
        <v>326</v>
      </c>
      <c r="L16" s="342"/>
      <c r="M16" s="342"/>
      <c r="N16" s="342"/>
      <c r="O16" s="342"/>
      <c r="P16" s="342"/>
    </row>
    <row r="17" spans="1:16" ht="15">
      <c r="A17" s="552" t="s">
        <v>306</v>
      </c>
      <c r="B17" s="552"/>
      <c r="C17" s="552"/>
      <c r="D17" s="553" t="s">
        <v>307</v>
      </c>
      <c r="E17" s="553"/>
      <c r="F17" s="551">
        <v>300</v>
      </c>
      <c r="G17" s="551"/>
      <c r="H17" s="568">
        <v>150</v>
      </c>
      <c r="I17" s="568"/>
      <c r="J17" s="568"/>
      <c r="K17" s="342" t="s">
        <v>326</v>
      </c>
      <c r="L17" s="342"/>
      <c r="M17" s="342"/>
      <c r="N17" s="342"/>
      <c r="O17" s="342"/>
      <c r="P17" s="342"/>
    </row>
    <row r="18" spans="1:16" ht="15">
      <c r="A18" s="369" t="s">
        <v>322</v>
      </c>
      <c r="B18" s="369"/>
      <c r="C18" s="369"/>
      <c r="D18" s="342" t="s">
        <v>314</v>
      </c>
      <c r="E18" s="342"/>
      <c r="F18" s="550">
        <v>300</v>
      </c>
      <c r="G18" s="342"/>
      <c r="H18" s="568" t="s">
        <v>329</v>
      </c>
      <c r="I18" s="568"/>
      <c r="J18" s="568"/>
      <c r="K18" s="342" t="s">
        <v>327</v>
      </c>
      <c r="L18" s="342"/>
      <c r="M18" s="342"/>
      <c r="N18" s="342"/>
      <c r="O18" s="342"/>
      <c r="P18" s="342"/>
    </row>
    <row r="19" spans="1:16" ht="15">
      <c r="A19" s="547" t="s">
        <v>316</v>
      </c>
      <c r="B19" s="547"/>
      <c r="C19" s="547"/>
      <c r="D19" s="548" t="s">
        <v>318</v>
      </c>
      <c r="E19" s="548"/>
      <c r="F19" s="549">
        <v>550</v>
      </c>
      <c r="G19" s="549"/>
      <c r="H19" s="545">
        <v>1800</v>
      </c>
      <c r="I19" s="545"/>
      <c r="J19" s="545"/>
      <c r="K19" s="342" t="s">
        <v>328</v>
      </c>
      <c r="L19" s="342"/>
      <c r="M19" s="342"/>
      <c r="N19" s="342"/>
      <c r="O19" s="342"/>
      <c r="P19" s="342"/>
    </row>
    <row r="20" spans="1:16" ht="15">
      <c r="A20" s="369" t="s">
        <v>319</v>
      </c>
      <c r="B20" s="369"/>
      <c r="C20" s="369"/>
      <c r="D20" s="342" t="s">
        <v>320</v>
      </c>
      <c r="E20" s="342"/>
      <c r="F20" s="546">
        <v>0</v>
      </c>
      <c r="G20" s="546"/>
      <c r="H20" s="545">
        <v>2000</v>
      </c>
      <c r="I20" s="545"/>
      <c r="J20" s="545"/>
      <c r="K20" s="342" t="s">
        <v>328</v>
      </c>
      <c r="L20" s="342"/>
      <c r="M20" s="342"/>
      <c r="N20" s="342"/>
      <c r="O20" s="342"/>
      <c r="P20" s="342"/>
    </row>
    <row r="21" spans="1:16" ht="15" customHeight="1">
      <c r="A21" s="489" t="s">
        <v>382</v>
      </c>
      <c r="B21" s="489"/>
      <c r="C21" s="489"/>
      <c r="D21" s="489" t="s">
        <v>324</v>
      </c>
      <c r="E21" s="489"/>
      <c r="F21" s="569">
        <v>0</v>
      </c>
      <c r="G21" s="569"/>
      <c r="H21" s="569">
        <v>0</v>
      </c>
      <c r="I21" s="569"/>
      <c r="J21" s="569"/>
      <c r="K21" s="485" t="s">
        <v>570</v>
      </c>
      <c r="L21" s="485"/>
      <c r="M21" s="485"/>
      <c r="N21" s="485"/>
      <c r="O21" s="485"/>
      <c r="P21" s="485"/>
    </row>
    <row r="22" spans="1:16" ht="15" customHeight="1">
      <c r="A22" s="489"/>
      <c r="B22" s="489"/>
      <c r="C22" s="489"/>
      <c r="D22" s="489"/>
      <c r="E22" s="489"/>
      <c r="F22" s="569"/>
      <c r="G22" s="569"/>
      <c r="H22" s="569"/>
      <c r="I22" s="569"/>
      <c r="J22" s="569"/>
      <c r="K22" s="485"/>
      <c r="L22" s="485"/>
      <c r="M22" s="485"/>
      <c r="N22" s="485"/>
      <c r="O22" s="485"/>
      <c r="P22" s="485"/>
    </row>
    <row r="23" spans="1:16">
      <c r="A23" s="489"/>
      <c r="B23" s="489"/>
      <c r="C23" s="489"/>
      <c r="D23" s="489"/>
      <c r="E23" s="489"/>
      <c r="F23" s="569"/>
      <c r="G23" s="569"/>
      <c r="H23" s="569"/>
      <c r="I23" s="569"/>
      <c r="J23" s="569"/>
      <c r="K23" s="485"/>
      <c r="L23" s="485"/>
      <c r="M23" s="485"/>
      <c r="N23" s="485"/>
      <c r="O23" s="485"/>
      <c r="P23" s="485"/>
    </row>
  </sheetData>
  <mergeCells count="57"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H19:J19"/>
    <mergeCell ref="A20:C20"/>
    <mergeCell ref="D20:E20"/>
    <mergeCell ref="F20:G20"/>
    <mergeCell ref="H20:J20"/>
    <mergeCell ref="A19:C19"/>
    <mergeCell ref="D19:E19"/>
    <mergeCell ref="F19:G19"/>
    <mergeCell ref="K11:P11"/>
    <mergeCell ref="K12:P12"/>
    <mergeCell ref="K13:P13"/>
    <mergeCell ref="K14:P14"/>
    <mergeCell ref="K15:P15"/>
    <mergeCell ref="K16:P16"/>
    <mergeCell ref="K17:P17"/>
    <mergeCell ref="K18:P18"/>
    <mergeCell ref="K19:P19"/>
    <mergeCell ref="K20:P20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571" t="s">
        <v>399</v>
      </c>
      <c r="B1" s="571"/>
      <c r="C1" s="571"/>
      <c r="D1" s="571"/>
      <c r="E1" s="571"/>
      <c r="F1" s="571"/>
      <c r="G1" s="571"/>
    </row>
    <row r="2" spans="1:7">
      <c r="A2" s="570" t="s">
        <v>401</v>
      </c>
      <c r="B2" s="570"/>
      <c r="C2" s="570"/>
      <c r="D2" s="570"/>
      <c r="E2" s="570"/>
      <c r="F2" s="570"/>
      <c r="G2" s="570"/>
    </row>
    <row r="3" spans="1:7">
      <c r="A3" s="570" t="s">
        <v>400</v>
      </c>
      <c r="B3" s="570"/>
      <c r="C3" s="570"/>
      <c r="D3" s="570"/>
      <c r="E3" s="570"/>
      <c r="F3" s="570"/>
      <c r="G3" s="570"/>
    </row>
    <row r="4" spans="1:7">
      <c r="A4" s="570" t="s">
        <v>402</v>
      </c>
      <c r="B4" s="570"/>
      <c r="C4" s="570"/>
      <c r="D4" s="570"/>
      <c r="E4" s="570"/>
      <c r="F4" s="570"/>
      <c r="G4" s="570"/>
    </row>
    <row r="5" spans="1:7">
      <c r="A5" s="570" t="s">
        <v>403</v>
      </c>
      <c r="B5" s="570"/>
      <c r="C5" s="570"/>
      <c r="D5" s="570"/>
      <c r="E5" s="570"/>
      <c r="F5" s="570"/>
      <c r="G5" s="570"/>
    </row>
    <row r="6" spans="1:7">
      <c r="A6" s="570" t="s">
        <v>404</v>
      </c>
      <c r="B6" s="570"/>
      <c r="C6" s="570"/>
      <c r="D6" s="570"/>
      <c r="E6" s="570"/>
      <c r="F6" s="570"/>
      <c r="G6" s="570"/>
    </row>
    <row r="7" spans="1:7">
      <c r="A7" s="570" t="s">
        <v>405</v>
      </c>
      <c r="B7" s="570"/>
      <c r="C7" s="570"/>
      <c r="D7" s="570"/>
      <c r="E7" s="570"/>
      <c r="F7" s="570"/>
      <c r="G7" s="570"/>
    </row>
    <row r="8" spans="1:7">
      <c r="A8" s="570" t="s">
        <v>406</v>
      </c>
      <c r="B8" s="570"/>
      <c r="C8" s="570"/>
      <c r="D8" s="570"/>
      <c r="E8" s="570"/>
      <c r="F8" s="570"/>
      <c r="G8" s="570"/>
    </row>
    <row r="9" spans="1:7">
      <c r="A9" s="570" t="s">
        <v>407</v>
      </c>
      <c r="B9" s="570"/>
      <c r="C9" s="570"/>
      <c r="D9" s="570"/>
      <c r="E9" s="570"/>
      <c r="F9" s="570"/>
      <c r="G9" s="570"/>
    </row>
    <row r="11" spans="1:7" ht="15">
      <c r="A11" s="571" t="s">
        <v>408</v>
      </c>
      <c r="B11" s="571"/>
      <c r="C11" s="571"/>
      <c r="D11" s="571"/>
      <c r="E11" s="571"/>
      <c r="F11" s="571"/>
      <c r="G11" s="571"/>
    </row>
    <row r="12" spans="1:7">
      <c r="A12" s="570" t="s">
        <v>409</v>
      </c>
      <c r="B12" s="570"/>
      <c r="C12" s="570"/>
      <c r="D12" s="570"/>
      <c r="E12" s="570"/>
      <c r="F12" s="570"/>
      <c r="G12" s="570"/>
    </row>
  </sheetData>
  <mergeCells count="11">
    <mergeCell ref="A6:G6"/>
    <mergeCell ref="A1:G1"/>
    <mergeCell ref="A2:G2"/>
    <mergeCell ref="A3:G3"/>
    <mergeCell ref="A4:G4"/>
    <mergeCell ref="A5:G5"/>
    <mergeCell ref="A7:G7"/>
    <mergeCell ref="A8:G8"/>
    <mergeCell ref="A9:G9"/>
    <mergeCell ref="A11:G11"/>
    <mergeCell ref="A12:G1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Orçamento</vt:lpstr>
      <vt:lpstr>Custo investimento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Fórmulas fee para split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2026-03-15T00:10:26Z</dcterms:modified>
</cp:coreProperties>
</file>